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ulevich.k\Downloads\"/>
    </mc:Choice>
  </mc:AlternateContent>
  <xr:revisionPtr revIDLastSave="0" documentId="13_ncr:1_{585A2924-0723-44EA-82E2-2823A41F3ED2}" xr6:coauthVersionLast="45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DSheet" sheetId="1" r:id="rId1"/>
  </sheets>
  <definedNames>
    <definedName name="_xlnm._FilterDatabase" localSheetId="0" hidden="1">TDSheet!$A$4:$L$4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" i="1" l="1"/>
  <c r="O2" i="1"/>
  <c r="I1482" i="1"/>
  <c r="N1482" i="1" s="1"/>
  <c r="I1481" i="1"/>
  <c r="N1481" i="1" s="1"/>
  <c r="I1480" i="1"/>
  <c r="N1480" i="1" s="1"/>
  <c r="I1479" i="1"/>
  <c r="N1479" i="1" s="1"/>
  <c r="I1477" i="1"/>
  <c r="N1477" i="1" s="1"/>
  <c r="I1476" i="1"/>
  <c r="N1476" i="1" s="1"/>
  <c r="I1475" i="1"/>
  <c r="N1475" i="1" s="1"/>
  <c r="I1474" i="1"/>
  <c r="N1474" i="1" s="1"/>
  <c r="I1473" i="1"/>
  <c r="N1473" i="1" s="1"/>
  <c r="I1472" i="1"/>
  <c r="N1472" i="1" s="1"/>
  <c r="I1471" i="1"/>
  <c r="N1471" i="1" s="1"/>
  <c r="I1467" i="1"/>
  <c r="N1467" i="1" s="1"/>
  <c r="I1466" i="1"/>
  <c r="N1466" i="1" s="1"/>
  <c r="I1465" i="1"/>
  <c r="N1465" i="1" s="1"/>
  <c r="I1464" i="1"/>
  <c r="N1464" i="1" s="1"/>
  <c r="I1463" i="1"/>
  <c r="N1463" i="1" s="1"/>
  <c r="I1462" i="1"/>
  <c r="N1462" i="1" s="1"/>
  <c r="I1460" i="1"/>
  <c r="N1460" i="1" s="1"/>
  <c r="I1455" i="1"/>
  <c r="N1455" i="1" s="1"/>
  <c r="I1453" i="1"/>
  <c r="N1453" i="1" s="1"/>
  <c r="I1452" i="1"/>
  <c r="N1452" i="1" s="1"/>
  <c r="I1451" i="1"/>
  <c r="N1451" i="1" s="1"/>
  <c r="I1448" i="1"/>
  <c r="N1448" i="1" s="1"/>
  <c r="I1447" i="1"/>
  <c r="N1447" i="1" s="1"/>
  <c r="I1446" i="1"/>
  <c r="N1446" i="1" s="1"/>
  <c r="I1445" i="1"/>
  <c r="N1445" i="1" s="1"/>
  <c r="I1444" i="1"/>
  <c r="N1444" i="1" s="1"/>
  <c r="I1443" i="1"/>
  <c r="N1443" i="1" s="1"/>
  <c r="I1442" i="1"/>
  <c r="N1442" i="1" s="1"/>
  <c r="I1441" i="1"/>
  <c r="N1441" i="1" s="1"/>
  <c r="I1440" i="1"/>
  <c r="N1440" i="1" s="1"/>
  <c r="I1439" i="1"/>
  <c r="N1439" i="1" s="1"/>
  <c r="I1437" i="1"/>
  <c r="N1437" i="1" s="1"/>
  <c r="I1435" i="1"/>
  <c r="N1435" i="1" s="1"/>
  <c r="I1431" i="1"/>
  <c r="N1431" i="1" s="1"/>
  <c r="I1430" i="1"/>
  <c r="N1430" i="1" s="1"/>
  <c r="I1429" i="1"/>
  <c r="N1429" i="1" s="1"/>
  <c r="I1428" i="1"/>
  <c r="N1428" i="1" s="1"/>
  <c r="I1427" i="1"/>
  <c r="N1427" i="1" s="1"/>
  <c r="I1426" i="1"/>
  <c r="N1426" i="1" s="1"/>
  <c r="I1424" i="1"/>
  <c r="N1424" i="1" s="1"/>
  <c r="I1423" i="1"/>
  <c r="N1423" i="1" s="1"/>
  <c r="I1420" i="1"/>
  <c r="N1420" i="1" s="1"/>
  <c r="I1417" i="1"/>
  <c r="N1417" i="1" s="1"/>
  <c r="I1416" i="1"/>
  <c r="N1416" i="1" s="1"/>
  <c r="I1415" i="1"/>
  <c r="N1415" i="1" s="1"/>
  <c r="I1414" i="1"/>
  <c r="N1414" i="1" s="1"/>
  <c r="I1413" i="1"/>
  <c r="N1413" i="1" s="1"/>
  <c r="I1412" i="1"/>
  <c r="N1412" i="1" s="1"/>
  <c r="I1411" i="1"/>
  <c r="N1411" i="1" s="1"/>
  <c r="I1410" i="1"/>
  <c r="N1410" i="1" s="1"/>
  <c r="I1409" i="1"/>
  <c r="N1409" i="1" s="1"/>
  <c r="I1407" i="1"/>
  <c r="N1407" i="1" s="1"/>
  <c r="I1406" i="1"/>
  <c r="N1406" i="1" s="1"/>
  <c r="I1405" i="1"/>
  <c r="N1405" i="1" s="1"/>
  <c r="I1404" i="1"/>
  <c r="N1404" i="1" s="1"/>
  <c r="I1403" i="1"/>
  <c r="N1403" i="1" s="1"/>
  <c r="I1402" i="1"/>
  <c r="N1402" i="1" s="1"/>
  <c r="I1401" i="1"/>
  <c r="N1401" i="1" s="1"/>
  <c r="I1400" i="1"/>
  <c r="N1400" i="1" s="1"/>
  <c r="I1399" i="1"/>
  <c r="N1399" i="1" s="1"/>
  <c r="I1396" i="1"/>
  <c r="N1396" i="1" s="1"/>
  <c r="I1395" i="1"/>
  <c r="N1395" i="1" s="1"/>
  <c r="I1394" i="1"/>
  <c r="N1394" i="1" s="1"/>
  <c r="I1392" i="1"/>
  <c r="N1392" i="1" s="1"/>
  <c r="I1391" i="1"/>
  <c r="N1391" i="1" s="1"/>
  <c r="I1390" i="1"/>
  <c r="N1390" i="1" s="1"/>
  <c r="I1389" i="1"/>
  <c r="N1389" i="1" s="1"/>
  <c r="I1388" i="1"/>
  <c r="N1388" i="1" s="1"/>
  <c r="I1387" i="1"/>
  <c r="N1387" i="1" s="1"/>
  <c r="I1386" i="1"/>
  <c r="N1386" i="1" s="1"/>
  <c r="I1385" i="1"/>
  <c r="N1385" i="1" s="1"/>
  <c r="I1384" i="1"/>
  <c r="N1384" i="1" s="1"/>
  <c r="I1383" i="1"/>
  <c r="N1383" i="1" s="1"/>
  <c r="I1382" i="1"/>
  <c r="N1382" i="1" s="1"/>
  <c r="I1381" i="1"/>
  <c r="N1381" i="1" s="1"/>
  <c r="I1380" i="1"/>
  <c r="N1380" i="1" s="1"/>
  <c r="I1379" i="1"/>
  <c r="N1379" i="1" s="1"/>
  <c r="I1378" i="1"/>
  <c r="N1378" i="1" s="1"/>
  <c r="I1377" i="1"/>
  <c r="N1377" i="1" s="1"/>
  <c r="I1376" i="1"/>
  <c r="N1376" i="1" s="1"/>
  <c r="I1375" i="1"/>
  <c r="N1375" i="1" s="1"/>
  <c r="I1374" i="1"/>
  <c r="N1374" i="1" s="1"/>
  <c r="I1373" i="1"/>
  <c r="N1373" i="1" s="1"/>
  <c r="I1370" i="1"/>
  <c r="N1370" i="1" s="1"/>
  <c r="I1369" i="1"/>
  <c r="N1369" i="1" s="1"/>
  <c r="I1368" i="1"/>
  <c r="N1368" i="1" s="1"/>
  <c r="I1363" i="1"/>
  <c r="N1363" i="1" s="1"/>
  <c r="I1360" i="1"/>
  <c r="N1360" i="1" s="1"/>
  <c r="I1359" i="1"/>
  <c r="N1359" i="1" s="1"/>
  <c r="I1358" i="1"/>
  <c r="N1358" i="1" s="1"/>
  <c r="I1357" i="1"/>
  <c r="N1357" i="1" s="1"/>
  <c r="I1355" i="1"/>
  <c r="N1355" i="1" s="1"/>
  <c r="I1354" i="1"/>
  <c r="N1354" i="1" s="1"/>
  <c r="I1353" i="1"/>
  <c r="N1353" i="1" s="1"/>
  <c r="I1352" i="1"/>
  <c r="N1352" i="1" s="1"/>
  <c r="I1351" i="1"/>
  <c r="N1351" i="1" s="1"/>
  <c r="I1350" i="1"/>
  <c r="N1350" i="1" s="1"/>
  <c r="I1349" i="1"/>
  <c r="N1349" i="1" s="1"/>
  <c r="I1348" i="1"/>
  <c r="N1348" i="1" s="1"/>
  <c r="I1347" i="1"/>
  <c r="N1347" i="1" s="1"/>
  <c r="I1346" i="1"/>
  <c r="N1346" i="1" s="1"/>
  <c r="I1345" i="1"/>
  <c r="N1345" i="1" s="1"/>
  <c r="I1344" i="1"/>
  <c r="N1344" i="1" s="1"/>
  <c r="I1343" i="1"/>
  <c r="N1343" i="1" s="1"/>
  <c r="I1342" i="1"/>
  <c r="N1342" i="1" s="1"/>
  <c r="I1341" i="1"/>
  <c r="N1341" i="1" s="1"/>
  <c r="I1340" i="1"/>
  <c r="N1340" i="1" s="1"/>
  <c r="I1339" i="1"/>
  <c r="N1339" i="1" s="1"/>
  <c r="I1338" i="1"/>
  <c r="N1338" i="1" s="1"/>
  <c r="I1337" i="1"/>
  <c r="N1337" i="1" s="1"/>
  <c r="I1336" i="1"/>
  <c r="N1336" i="1" s="1"/>
  <c r="I1335" i="1"/>
  <c r="N1335" i="1" s="1"/>
  <c r="I1333" i="1"/>
  <c r="N1333" i="1" s="1"/>
  <c r="I1332" i="1"/>
  <c r="N1332" i="1" s="1"/>
  <c r="I1331" i="1"/>
  <c r="N1331" i="1" s="1"/>
  <c r="I1330" i="1"/>
  <c r="N1330" i="1" s="1"/>
  <c r="I1329" i="1"/>
  <c r="N1329" i="1" s="1"/>
  <c r="I1328" i="1"/>
  <c r="N1328" i="1" s="1"/>
  <c r="I1327" i="1"/>
  <c r="N1327" i="1" s="1"/>
  <c r="I1326" i="1"/>
  <c r="N1326" i="1" s="1"/>
  <c r="I1325" i="1"/>
  <c r="N1325" i="1" s="1"/>
  <c r="I1324" i="1"/>
  <c r="N1324" i="1" s="1"/>
  <c r="I1323" i="1"/>
  <c r="N1323" i="1" s="1"/>
  <c r="I1322" i="1"/>
  <c r="N1322" i="1" s="1"/>
  <c r="I1321" i="1"/>
  <c r="N1321" i="1" s="1"/>
  <c r="I1320" i="1"/>
  <c r="N1320" i="1" s="1"/>
  <c r="I1318" i="1"/>
  <c r="N1318" i="1" s="1"/>
  <c r="I1317" i="1"/>
  <c r="N1317" i="1" s="1"/>
  <c r="I1316" i="1"/>
  <c r="N1316" i="1" s="1"/>
  <c r="I1315" i="1"/>
  <c r="N1315" i="1" s="1"/>
  <c r="I1314" i="1"/>
  <c r="N1314" i="1" s="1"/>
  <c r="I1313" i="1"/>
  <c r="N1313" i="1" s="1"/>
  <c r="I1312" i="1"/>
  <c r="N1312" i="1" s="1"/>
  <c r="I1311" i="1"/>
  <c r="N1311" i="1" s="1"/>
  <c r="I1310" i="1"/>
  <c r="N1310" i="1" s="1"/>
  <c r="I1309" i="1"/>
  <c r="N1309" i="1" s="1"/>
  <c r="I1308" i="1"/>
  <c r="N1308" i="1" s="1"/>
  <c r="I1307" i="1"/>
  <c r="N1307" i="1" s="1"/>
  <c r="I1306" i="1"/>
  <c r="N1306" i="1" s="1"/>
  <c r="I1305" i="1"/>
  <c r="N1305" i="1" s="1"/>
  <c r="I1303" i="1"/>
  <c r="N1303" i="1" s="1"/>
  <c r="I1302" i="1"/>
  <c r="N1302" i="1" s="1"/>
  <c r="I1301" i="1"/>
  <c r="N1301" i="1" s="1"/>
  <c r="I1300" i="1"/>
  <c r="N1300" i="1" s="1"/>
  <c r="I1299" i="1"/>
  <c r="N1299" i="1" s="1"/>
  <c r="I1298" i="1"/>
  <c r="N1298" i="1" s="1"/>
  <c r="I1296" i="1"/>
  <c r="N1296" i="1" s="1"/>
  <c r="I1295" i="1"/>
  <c r="N1295" i="1" s="1"/>
  <c r="I1294" i="1"/>
  <c r="N1294" i="1" s="1"/>
  <c r="I1293" i="1"/>
  <c r="N1293" i="1" s="1"/>
  <c r="I1292" i="1"/>
  <c r="N1292" i="1" s="1"/>
  <c r="I1291" i="1"/>
  <c r="N1291" i="1" s="1"/>
  <c r="I1290" i="1"/>
  <c r="N1290" i="1" s="1"/>
  <c r="I1289" i="1"/>
  <c r="N1289" i="1" s="1"/>
  <c r="I1288" i="1"/>
  <c r="N1288" i="1" s="1"/>
  <c r="I1287" i="1"/>
  <c r="N1287" i="1" s="1"/>
  <c r="I1286" i="1"/>
  <c r="N1286" i="1" s="1"/>
  <c r="I1285" i="1"/>
  <c r="N1285" i="1" s="1"/>
  <c r="I1284" i="1"/>
  <c r="N1284" i="1" s="1"/>
  <c r="I1283" i="1"/>
  <c r="N1283" i="1" s="1"/>
  <c r="I1282" i="1"/>
  <c r="N1282" i="1" s="1"/>
  <c r="I1281" i="1"/>
  <c r="N1281" i="1" s="1"/>
  <c r="I1280" i="1"/>
  <c r="N1280" i="1" s="1"/>
  <c r="I1279" i="1"/>
  <c r="N1279" i="1" s="1"/>
  <c r="I1278" i="1"/>
  <c r="N1278" i="1" s="1"/>
  <c r="I1277" i="1"/>
  <c r="N1277" i="1" s="1"/>
  <c r="I1276" i="1"/>
  <c r="N1276" i="1" s="1"/>
  <c r="I1275" i="1"/>
  <c r="N1275" i="1" s="1"/>
  <c r="I1273" i="1"/>
  <c r="N1273" i="1" s="1"/>
  <c r="I1271" i="1"/>
  <c r="N1271" i="1" s="1"/>
  <c r="I1270" i="1"/>
  <c r="N1270" i="1" s="1"/>
  <c r="I1269" i="1"/>
  <c r="N1269" i="1" s="1"/>
  <c r="I1268" i="1"/>
  <c r="N1268" i="1" s="1"/>
  <c r="I1267" i="1"/>
  <c r="N1267" i="1" s="1"/>
  <c r="I1265" i="1"/>
  <c r="N1265" i="1" s="1"/>
  <c r="I1263" i="1"/>
  <c r="N1263" i="1" s="1"/>
  <c r="I1262" i="1"/>
  <c r="N1262" i="1" s="1"/>
  <c r="I1261" i="1"/>
  <c r="N1261" i="1" s="1"/>
  <c r="I1260" i="1"/>
  <c r="N1260" i="1" s="1"/>
  <c r="I1259" i="1"/>
  <c r="N1259" i="1" s="1"/>
  <c r="I1258" i="1"/>
  <c r="N1258" i="1" s="1"/>
  <c r="I1257" i="1"/>
  <c r="N1257" i="1" s="1"/>
  <c r="I1255" i="1"/>
  <c r="N1255" i="1" s="1"/>
  <c r="I1254" i="1"/>
  <c r="N1254" i="1" s="1"/>
  <c r="I1253" i="1"/>
  <c r="N1253" i="1" s="1"/>
  <c r="I1252" i="1"/>
  <c r="N1252" i="1" s="1"/>
  <c r="I1251" i="1"/>
  <c r="N1251" i="1" s="1"/>
  <c r="I1249" i="1"/>
  <c r="N1249" i="1" s="1"/>
  <c r="I1248" i="1"/>
  <c r="N1248" i="1" s="1"/>
  <c r="I1247" i="1"/>
  <c r="N1247" i="1" s="1"/>
  <c r="I1246" i="1"/>
  <c r="N1246" i="1" s="1"/>
  <c r="I1245" i="1"/>
  <c r="N1245" i="1" s="1"/>
  <c r="I1244" i="1"/>
  <c r="N1244" i="1" s="1"/>
  <c r="I1242" i="1"/>
  <c r="N1242" i="1" s="1"/>
  <c r="I1241" i="1"/>
  <c r="N1241" i="1" s="1"/>
  <c r="I1238" i="1"/>
  <c r="N1238" i="1" s="1"/>
  <c r="I1237" i="1"/>
  <c r="N1237" i="1" s="1"/>
  <c r="I1236" i="1"/>
  <c r="N1236" i="1" s="1"/>
  <c r="I1235" i="1"/>
  <c r="N1235" i="1" s="1"/>
  <c r="I1234" i="1"/>
  <c r="N1234" i="1" s="1"/>
  <c r="I1233" i="1"/>
  <c r="N1233" i="1" s="1"/>
  <c r="I1232" i="1"/>
  <c r="N1232" i="1" s="1"/>
  <c r="I1231" i="1"/>
  <c r="N1231" i="1" s="1"/>
  <c r="I1230" i="1"/>
  <c r="N1230" i="1" s="1"/>
  <c r="I1229" i="1"/>
  <c r="N1229" i="1" s="1"/>
  <c r="I1228" i="1"/>
  <c r="N1228" i="1" s="1"/>
  <c r="I1226" i="1"/>
  <c r="N1226" i="1" s="1"/>
  <c r="I1225" i="1"/>
  <c r="N1225" i="1" s="1"/>
  <c r="I1224" i="1"/>
  <c r="N1224" i="1" s="1"/>
  <c r="I1223" i="1"/>
  <c r="N1223" i="1" s="1"/>
  <c r="I1222" i="1"/>
  <c r="N1222" i="1" s="1"/>
  <c r="I1221" i="1"/>
  <c r="N1221" i="1" s="1"/>
  <c r="I1220" i="1"/>
  <c r="N1220" i="1" s="1"/>
  <c r="I1218" i="1"/>
  <c r="N1218" i="1" s="1"/>
  <c r="I1217" i="1"/>
  <c r="N1217" i="1" s="1"/>
  <c r="I1216" i="1"/>
  <c r="N1216" i="1" s="1"/>
  <c r="I1215" i="1"/>
  <c r="N1215" i="1" s="1"/>
  <c r="I1214" i="1"/>
  <c r="N1214" i="1" s="1"/>
  <c r="I1213" i="1"/>
  <c r="N1213" i="1" s="1"/>
  <c r="I1212" i="1"/>
  <c r="N1212" i="1" s="1"/>
  <c r="I1211" i="1"/>
  <c r="N1211" i="1" s="1"/>
  <c r="I1210" i="1"/>
  <c r="N1210" i="1" s="1"/>
  <c r="I1209" i="1"/>
  <c r="N1209" i="1" s="1"/>
  <c r="I1208" i="1"/>
  <c r="N1208" i="1" s="1"/>
  <c r="I1207" i="1"/>
  <c r="N1207" i="1" s="1"/>
  <c r="I1206" i="1"/>
  <c r="N1206" i="1" s="1"/>
  <c r="I1205" i="1"/>
  <c r="N1205" i="1" s="1"/>
  <c r="I1204" i="1"/>
  <c r="N1204" i="1" s="1"/>
  <c r="I1203" i="1"/>
  <c r="N1203" i="1" s="1"/>
  <c r="I1201" i="1"/>
  <c r="N1201" i="1" s="1"/>
  <c r="I1200" i="1"/>
  <c r="N1200" i="1" s="1"/>
  <c r="I1199" i="1"/>
  <c r="N1199" i="1" s="1"/>
  <c r="I1198" i="1"/>
  <c r="N1198" i="1" s="1"/>
  <c r="I1197" i="1"/>
  <c r="N1197" i="1" s="1"/>
  <c r="I1196" i="1"/>
  <c r="N1196" i="1" s="1"/>
  <c r="I1195" i="1"/>
  <c r="N1195" i="1" s="1"/>
  <c r="I1194" i="1"/>
  <c r="N1194" i="1" s="1"/>
  <c r="I1193" i="1"/>
  <c r="N1193" i="1" s="1"/>
  <c r="I1192" i="1"/>
  <c r="N1192" i="1" s="1"/>
  <c r="I1191" i="1"/>
  <c r="N1191" i="1" s="1"/>
  <c r="I1190" i="1"/>
  <c r="N1190" i="1" s="1"/>
  <c r="I1189" i="1"/>
  <c r="N1189" i="1" s="1"/>
  <c r="I1188" i="1"/>
  <c r="N1188" i="1" s="1"/>
  <c r="I1187" i="1"/>
  <c r="N1187" i="1" s="1"/>
  <c r="I1186" i="1"/>
  <c r="N1186" i="1" s="1"/>
  <c r="I1185" i="1"/>
  <c r="N1185" i="1" s="1"/>
  <c r="I1184" i="1"/>
  <c r="N1184" i="1" s="1"/>
  <c r="I1182" i="1"/>
  <c r="N1182" i="1" s="1"/>
  <c r="I1181" i="1"/>
  <c r="N1181" i="1" s="1"/>
  <c r="I1180" i="1"/>
  <c r="N1180" i="1" s="1"/>
  <c r="I1179" i="1"/>
  <c r="N1179" i="1" s="1"/>
  <c r="I1178" i="1"/>
  <c r="N1178" i="1" s="1"/>
  <c r="I1177" i="1"/>
  <c r="N1177" i="1" s="1"/>
  <c r="I1176" i="1"/>
  <c r="N1176" i="1" s="1"/>
  <c r="I1175" i="1"/>
  <c r="N1175" i="1" s="1"/>
  <c r="I1174" i="1"/>
  <c r="N1174" i="1" s="1"/>
  <c r="I1173" i="1"/>
  <c r="N1173" i="1" s="1"/>
  <c r="I1172" i="1"/>
  <c r="N1172" i="1" s="1"/>
  <c r="I1171" i="1"/>
  <c r="N1171" i="1" s="1"/>
  <c r="I1170" i="1"/>
  <c r="N1170" i="1" s="1"/>
  <c r="I1169" i="1"/>
  <c r="N1169" i="1" s="1"/>
  <c r="I1168" i="1"/>
  <c r="N1168" i="1" s="1"/>
  <c r="I1167" i="1"/>
  <c r="N1167" i="1" s="1"/>
  <c r="I1166" i="1"/>
  <c r="N1166" i="1" s="1"/>
  <c r="I1165" i="1"/>
  <c r="N1165" i="1" s="1"/>
  <c r="I1164" i="1"/>
  <c r="N1164" i="1" s="1"/>
  <c r="I1163" i="1"/>
  <c r="N1163" i="1" s="1"/>
  <c r="I1162" i="1"/>
  <c r="N1162" i="1" s="1"/>
  <c r="I1161" i="1"/>
  <c r="N1161" i="1" s="1"/>
  <c r="I1160" i="1"/>
  <c r="N1160" i="1" s="1"/>
  <c r="I1159" i="1"/>
  <c r="N1159" i="1" s="1"/>
  <c r="I1157" i="1"/>
  <c r="N1157" i="1" s="1"/>
  <c r="I1156" i="1"/>
  <c r="N1156" i="1" s="1"/>
  <c r="I1155" i="1"/>
  <c r="N1155" i="1" s="1"/>
  <c r="I1154" i="1"/>
  <c r="N1154" i="1" s="1"/>
  <c r="I1152" i="1"/>
  <c r="N1152" i="1" s="1"/>
  <c r="I1151" i="1"/>
  <c r="N1151" i="1" s="1"/>
  <c r="I1150" i="1"/>
  <c r="N1150" i="1" s="1"/>
  <c r="I1149" i="1"/>
  <c r="N1149" i="1" s="1"/>
  <c r="I1148" i="1"/>
  <c r="N1148" i="1" s="1"/>
  <c r="I1147" i="1"/>
  <c r="N1147" i="1" s="1"/>
  <c r="I1146" i="1"/>
  <c r="N1146" i="1" s="1"/>
  <c r="I1145" i="1"/>
  <c r="N1145" i="1" s="1"/>
  <c r="I1144" i="1"/>
  <c r="N1144" i="1" s="1"/>
  <c r="I1142" i="1"/>
  <c r="N1142" i="1" s="1"/>
  <c r="I1140" i="1"/>
  <c r="N1140" i="1" s="1"/>
  <c r="I1139" i="1"/>
  <c r="N1139" i="1" s="1"/>
  <c r="I1138" i="1"/>
  <c r="N1138" i="1" s="1"/>
  <c r="I1137" i="1"/>
  <c r="N1137" i="1" s="1"/>
  <c r="I1136" i="1"/>
  <c r="N1136" i="1" s="1"/>
  <c r="I1135" i="1"/>
  <c r="N1135" i="1" s="1"/>
  <c r="I1134" i="1"/>
  <c r="N1134" i="1" s="1"/>
  <c r="I1133" i="1"/>
  <c r="N1133" i="1" s="1"/>
  <c r="I1132" i="1"/>
  <c r="N1132" i="1" s="1"/>
  <c r="I1131" i="1"/>
  <c r="N1131" i="1" s="1"/>
  <c r="I1129" i="1"/>
  <c r="N1129" i="1" s="1"/>
  <c r="I1128" i="1"/>
  <c r="N1128" i="1" s="1"/>
  <c r="I1127" i="1"/>
  <c r="N1127" i="1" s="1"/>
  <c r="I1126" i="1"/>
  <c r="N1126" i="1" s="1"/>
  <c r="I1125" i="1"/>
  <c r="N1125" i="1" s="1"/>
  <c r="I1123" i="1"/>
  <c r="N1123" i="1" s="1"/>
  <c r="I1122" i="1"/>
  <c r="N1122" i="1" s="1"/>
  <c r="I1121" i="1"/>
  <c r="N1121" i="1" s="1"/>
  <c r="I1120" i="1"/>
  <c r="N1120" i="1" s="1"/>
  <c r="I1119" i="1"/>
  <c r="N1119" i="1" s="1"/>
  <c r="I1118" i="1"/>
  <c r="N1118" i="1" s="1"/>
  <c r="I1117" i="1"/>
  <c r="N1117" i="1" s="1"/>
  <c r="I1116" i="1"/>
  <c r="N1116" i="1" s="1"/>
  <c r="I1115" i="1"/>
  <c r="N1115" i="1" s="1"/>
  <c r="I1114" i="1"/>
  <c r="N1114" i="1" s="1"/>
  <c r="I1112" i="1"/>
  <c r="N1112" i="1" s="1"/>
  <c r="I1111" i="1"/>
  <c r="N1111" i="1" s="1"/>
  <c r="I1110" i="1"/>
  <c r="N1110" i="1" s="1"/>
  <c r="I1109" i="1"/>
  <c r="N1109" i="1" s="1"/>
  <c r="I1108" i="1"/>
  <c r="N1108" i="1" s="1"/>
  <c r="I1107" i="1"/>
  <c r="N1107" i="1" s="1"/>
  <c r="I1106" i="1"/>
  <c r="N1106" i="1" s="1"/>
  <c r="I1105" i="1"/>
  <c r="N1105" i="1" s="1"/>
  <c r="I1104" i="1"/>
  <c r="N1104" i="1" s="1"/>
  <c r="I1103" i="1"/>
  <c r="N1103" i="1" s="1"/>
  <c r="I1102" i="1"/>
  <c r="N1102" i="1" s="1"/>
  <c r="I1101" i="1"/>
  <c r="N1101" i="1" s="1"/>
  <c r="I1100" i="1"/>
  <c r="N1100" i="1" s="1"/>
  <c r="I1099" i="1"/>
  <c r="N1099" i="1" s="1"/>
  <c r="I1098" i="1"/>
  <c r="N1098" i="1" s="1"/>
  <c r="I1097" i="1"/>
  <c r="N1097" i="1" s="1"/>
  <c r="I1096" i="1"/>
  <c r="N1096" i="1" s="1"/>
  <c r="I1095" i="1"/>
  <c r="N1095" i="1" s="1"/>
  <c r="I1094" i="1"/>
  <c r="N1094" i="1" s="1"/>
  <c r="I1093" i="1"/>
  <c r="N1093" i="1" s="1"/>
  <c r="I1092" i="1"/>
  <c r="N1092" i="1" s="1"/>
  <c r="I1091" i="1"/>
  <c r="N1091" i="1" s="1"/>
  <c r="I1090" i="1"/>
  <c r="N1090" i="1" s="1"/>
  <c r="I1089" i="1"/>
  <c r="N1089" i="1" s="1"/>
  <c r="I1088" i="1"/>
  <c r="N1088" i="1" s="1"/>
  <c r="I1087" i="1"/>
  <c r="N1087" i="1" s="1"/>
  <c r="I1086" i="1"/>
  <c r="N1086" i="1" s="1"/>
  <c r="I1085" i="1"/>
  <c r="N1085" i="1" s="1"/>
  <c r="I1084" i="1"/>
  <c r="N1084" i="1" s="1"/>
  <c r="I1083" i="1"/>
  <c r="N1083" i="1" s="1"/>
  <c r="I1082" i="1"/>
  <c r="N1082" i="1" s="1"/>
  <c r="I1081" i="1"/>
  <c r="N1081" i="1" s="1"/>
  <c r="I1080" i="1"/>
  <c r="N1080" i="1" s="1"/>
  <c r="I1079" i="1"/>
  <c r="N1079" i="1" s="1"/>
  <c r="I1078" i="1"/>
  <c r="N1078" i="1" s="1"/>
  <c r="I1077" i="1"/>
  <c r="N1077" i="1" s="1"/>
  <c r="I1076" i="1"/>
  <c r="N1076" i="1" s="1"/>
  <c r="I1075" i="1"/>
  <c r="N1075" i="1" s="1"/>
  <c r="I1074" i="1"/>
  <c r="N1074" i="1" s="1"/>
  <c r="I1073" i="1"/>
  <c r="N1073" i="1" s="1"/>
  <c r="I1072" i="1"/>
  <c r="N1072" i="1" s="1"/>
  <c r="I1071" i="1"/>
  <c r="N1071" i="1" s="1"/>
  <c r="I1070" i="1"/>
  <c r="N1070" i="1" s="1"/>
  <c r="I1069" i="1"/>
  <c r="N1069" i="1" s="1"/>
  <c r="I1068" i="1"/>
  <c r="N1068" i="1" s="1"/>
  <c r="I1067" i="1"/>
  <c r="N1067" i="1" s="1"/>
  <c r="I1066" i="1"/>
  <c r="N1066" i="1" s="1"/>
  <c r="I1065" i="1"/>
  <c r="N1065" i="1" s="1"/>
  <c r="I1064" i="1"/>
  <c r="N1064" i="1" s="1"/>
  <c r="I1063" i="1"/>
  <c r="N1063" i="1" s="1"/>
  <c r="I1062" i="1"/>
  <c r="N1062" i="1" s="1"/>
  <c r="I1061" i="1"/>
  <c r="N1061" i="1" s="1"/>
  <c r="I1060" i="1"/>
  <c r="N1060" i="1" s="1"/>
  <c r="I1059" i="1"/>
  <c r="N1059" i="1" s="1"/>
  <c r="I1058" i="1"/>
  <c r="N1058" i="1" s="1"/>
  <c r="I1057" i="1"/>
  <c r="N1057" i="1" s="1"/>
  <c r="I1056" i="1"/>
  <c r="N1056" i="1" s="1"/>
  <c r="I1055" i="1"/>
  <c r="N1055" i="1" s="1"/>
  <c r="I1054" i="1"/>
  <c r="N1054" i="1" s="1"/>
  <c r="I1053" i="1"/>
  <c r="N1053" i="1" s="1"/>
  <c r="I1052" i="1"/>
  <c r="N1052" i="1" s="1"/>
  <c r="I1051" i="1"/>
  <c r="N1051" i="1" s="1"/>
  <c r="I1050" i="1"/>
  <c r="N1050" i="1" s="1"/>
  <c r="I1049" i="1"/>
  <c r="N1049" i="1" s="1"/>
  <c r="I1047" i="1"/>
  <c r="N1047" i="1" s="1"/>
  <c r="I1046" i="1"/>
  <c r="N1046" i="1" s="1"/>
  <c r="I1045" i="1"/>
  <c r="N1045" i="1" s="1"/>
  <c r="I1044" i="1"/>
  <c r="N1044" i="1" s="1"/>
  <c r="I1043" i="1"/>
  <c r="N1043" i="1" s="1"/>
  <c r="I1042" i="1"/>
  <c r="N1042" i="1" s="1"/>
  <c r="I1041" i="1"/>
  <c r="N1041" i="1" s="1"/>
  <c r="I1040" i="1"/>
  <c r="N1040" i="1" s="1"/>
  <c r="I1038" i="1"/>
  <c r="N1038" i="1" s="1"/>
  <c r="I1037" i="1"/>
  <c r="N1037" i="1" s="1"/>
  <c r="I1036" i="1"/>
  <c r="N1036" i="1" s="1"/>
  <c r="I1035" i="1"/>
  <c r="N1035" i="1" s="1"/>
  <c r="I1034" i="1"/>
  <c r="N1034" i="1" s="1"/>
  <c r="I1033" i="1"/>
  <c r="N1033" i="1" s="1"/>
  <c r="I1032" i="1"/>
  <c r="N1032" i="1" s="1"/>
  <c r="I1031" i="1"/>
  <c r="N1031" i="1" s="1"/>
  <c r="I1030" i="1"/>
  <c r="N1030" i="1" s="1"/>
  <c r="I1029" i="1"/>
  <c r="N1029" i="1" s="1"/>
  <c r="I1028" i="1"/>
  <c r="N1028" i="1" s="1"/>
  <c r="I1027" i="1"/>
  <c r="N1027" i="1" s="1"/>
  <c r="I1024" i="1"/>
  <c r="N1024" i="1" s="1"/>
  <c r="I1023" i="1"/>
  <c r="N1023" i="1" s="1"/>
  <c r="I1022" i="1"/>
  <c r="N1022" i="1" s="1"/>
  <c r="I1021" i="1"/>
  <c r="N1021" i="1" s="1"/>
  <c r="I1020" i="1"/>
  <c r="N1020" i="1" s="1"/>
  <c r="I1019" i="1"/>
  <c r="N1019" i="1" s="1"/>
  <c r="I1018" i="1"/>
  <c r="N1018" i="1" s="1"/>
  <c r="I1017" i="1"/>
  <c r="N1017" i="1" s="1"/>
  <c r="I1016" i="1"/>
  <c r="N1016" i="1" s="1"/>
  <c r="I1015" i="1"/>
  <c r="N1015" i="1" s="1"/>
  <c r="I1014" i="1"/>
  <c r="N1014" i="1" s="1"/>
  <c r="I1013" i="1"/>
  <c r="N1013" i="1" s="1"/>
  <c r="I1012" i="1"/>
  <c r="N1012" i="1" s="1"/>
  <c r="I1011" i="1"/>
  <c r="N1011" i="1" s="1"/>
  <c r="I1010" i="1"/>
  <c r="N1010" i="1" s="1"/>
  <c r="I1009" i="1"/>
  <c r="N1009" i="1" s="1"/>
  <c r="I1008" i="1"/>
  <c r="N1008" i="1" s="1"/>
  <c r="I1007" i="1"/>
  <c r="N1007" i="1" s="1"/>
  <c r="I1006" i="1"/>
  <c r="N1006" i="1" s="1"/>
  <c r="I1005" i="1"/>
  <c r="N1005" i="1" s="1"/>
  <c r="I1004" i="1"/>
  <c r="N1004" i="1" s="1"/>
  <c r="I1003" i="1"/>
  <c r="N1003" i="1" s="1"/>
  <c r="I1002" i="1"/>
  <c r="N1002" i="1" s="1"/>
  <c r="I1000" i="1"/>
  <c r="N1000" i="1" s="1"/>
  <c r="I999" i="1"/>
  <c r="N999" i="1" s="1"/>
  <c r="I998" i="1"/>
  <c r="N998" i="1" s="1"/>
  <c r="I997" i="1"/>
  <c r="N997" i="1" s="1"/>
  <c r="I995" i="1"/>
  <c r="N995" i="1" s="1"/>
  <c r="I993" i="1"/>
  <c r="N993" i="1" s="1"/>
  <c r="I992" i="1"/>
  <c r="N992" i="1" s="1"/>
  <c r="I991" i="1"/>
  <c r="N991" i="1" s="1"/>
  <c r="I989" i="1"/>
  <c r="N989" i="1" s="1"/>
  <c r="I988" i="1"/>
  <c r="N988" i="1" s="1"/>
  <c r="I987" i="1"/>
  <c r="N987" i="1" s="1"/>
  <c r="I986" i="1"/>
  <c r="N986" i="1" s="1"/>
  <c r="I985" i="1"/>
  <c r="N985" i="1" s="1"/>
  <c r="I984" i="1"/>
  <c r="N984" i="1" s="1"/>
  <c r="I982" i="1"/>
  <c r="N982" i="1" s="1"/>
  <c r="I979" i="1"/>
  <c r="N979" i="1" s="1"/>
  <c r="I977" i="1"/>
  <c r="N977" i="1" s="1"/>
  <c r="I975" i="1"/>
  <c r="N975" i="1" s="1"/>
  <c r="I974" i="1"/>
  <c r="N974" i="1" s="1"/>
  <c r="I973" i="1"/>
  <c r="N973" i="1" s="1"/>
  <c r="I971" i="1"/>
  <c r="N971" i="1" s="1"/>
  <c r="I970" i="1"/>
  <c r="N970" i="1" s="1"/>
  <c r="I969" i="1"/>
  <c r="N969" i="1" s="1"/>
  <c r="I968" i="1"/>
  <c r="N968" i="1" s="1"/>
  <c r="I967" i="1"/>
  <c r="N967" i="1" s="1"/>
  <c r="I966" i="1"/>
  <c r="N966" i="1" s="1"/>
  <c r="I965" i="1"/>
  <c r="N965" i="1" s="1"/>
  <c r="I964" i="1"/>
  <c r="N964" i="1" s="1"/>
  <c r="I962" i="1"/>
  <c r="N962" i="1" s="1"/>
  <c r="I961" i="1"/>
  <c r="N961" i="1" s="1"/>
  <c r="I960" i="1"/>
  <c r="N960" i="1" s="1"/>
  <c r="I959" i="1"/>
  <c r="N959" i="1" s="1"/>
  <c r="I958" i="1"/>
  <c r="N958" i="1" s="1"/>
  <c r="I956" i="1"/>
  <c r="N956" i="1" s="1"/>
  <c r="I955" i="1"/>
  <c r="N955" i="1" s="1"/>
  <c r="I954" i="1"/>
  <c r="N954" i="1" s="1"/>
  <c r="I953" i="1"/>
  <c r="N953" i="1" s="1"/>
  <c r="I952" i="1"/>
  <c r="N952" i="1" s="1"/>
  <c r="I951" i="1"/>
  <c r="N951" i="1" s="1"/>
  <c r="I950" i="1"/>
  <c r="N950" i="1" s="1"/>
  <c r="I949" i="1"/>
  <c r="N949" i="1" s="1"/>
  <c r="I948" i="1"/>
  <c r="N948" i="1" s="1"/>
  <c r="I947" i="1"/>
  <c r="N947" i="1" s="1"/>
  <c r="I945" i="1"/>
  <c r="N945" i="1" s="1"/>
  <c r="I944" i="1"/>
  <c r="N944" i="1" s="1"/>
  <c r="I943" i="1"/>
  <c r="N943" i="1" s="1"/>
  <c r="I942" i="1"/>
  <c r="N942" i="1" s="1"/>
  <c r="I941" i="1"/>
  <c r="N941" i="1" s="1"/>
  <c r="I940" i="1"/>
  <c r="N940" i="1" s="1"/>
  <c r="I939" i="1"/>
  <c r="N939" i="1" s="1"/>
  <c r="I938" i="1"/>
  <c r="N938" i="1" s="1"/>
  <c r="I937" i="1"/>
  <c r="N937" i="1" s="1"/>
  <c r="I936" i="1"/>
  <c r="N936" i="1" s="1"/>
  <c r="I935" i="1"/>
  <c r="N935" i="1" s="1"/>
  <c r="I934" i="1"/>
  <c r="N934" i="1" s="1"/>
  <c r="I933" i="1"/>
  <c r="N933" i="1" s="1"/>
  <c r="I932" i="1"/>
  <c r="N932" i="1" s="1"/>
  <c r="I931" i="1"/>
  <c r="N931" i="1" s="1"/>
  <c r="I930" i="1"/>
  <c r="N930" i="1" s="1"/>
  <c r="I929" i="1"/>
  <c r="N929" i="1" s="1"/>
  <c r="I928" i="1"/>
  <c r="N928" i="1" s="1"/>
  <c r="I926" i="1"/>
  <c r="N926" i="1" s="1"/>
  <c r="I925" i="1"/>
  <c r="N925" i="1" s="1"/>
  <c r="I924" i="1"/>
  <c r="N924" i="1" s="1"/>
  <c r="I923" i="1"/>
  <c r="N923" i="1" s="1"/>
  <c r="I920" i="1"/>
  <c r="N920" i="1" s="1"/>
  <c r="I919" i="1"/>
  <c r="N919" i="1" s="1"/>
  <c r="I918" i="1"/>
  <c r="N918" i="1" s="1"/>
  <c r="I917" i="1"/>
  <c r="N917" i="1" s="1"/>
  <c r="I916" i="1"/>
  <c r="N916" i="1" s="1"/>
  <c r="I915" i="1"/>
  <c r="N915" i="1" s="1"/>
  <c r="I914" i="1"/>
  <c r="N914" i="1" s="1"/>
  <c r="I913" i="1"/>
  <c r="N913" i="1" s="1"/>
  <c r="I912" i="1"/>
  <c r="N912" i="1" s="1"/>
  <c r="I910" i="1"/>
  <c r="N910" i="1" s="1"/>
  <c r="I909" i="1"/>
  <c r="N909" i="1" s="1"/>
  <c r="I908" i="1"/>
  <c r="N908" i="1" s="1"/>
  <c r="I907" i="1"/>
  <c r="N907" i="1" s="1"/>
  <c r="I905" i="1"/>
  <c r="N905" i="1" s="1"/>
  <c r="I904" i="1"/>
  <c r="N904" i="1" s="1"/>
  <c r="I903" i="1"/>
  <c r="N903" i="1" s="1"/>
  <c r="I902" i="1"/>
  <c r="N902" i="1" s="1"/>
  <c r="I901" i="1"/>
  <c r="N901" i="1" s="1"/>
  <c r="I900" i="1"/>
  <c r="N900" i="1" s="1"/>
  <c r="I899" i="1"/>
  <c r="N899" i="1" s="1"/>
  <c r="I898" i="1"/>
  <c r="N898" i="1" s="1"/>
  <c r="I897" i="1"/>
  <c r="N897" i="1" s="1"/>
  <c r="I896" i="1"/>
  <c r="N896" i="1" s="1"/>
  <c r="I895" i="1"/>
  <c r="N895" i="1" s="1"/>
  <c r="I894" i="1"/>
  <c r="N894" i="1" s="1"/>
  <c r="I893" i="1"/>
  <c r="N893" i="1" s="1"/>
  <c r="I892" i="1"/>
  <c r="N892" i="1" s="1"/>
  <c r="I891" i="1"/>
  <c r="N891" i="1" s="1"/>
  <c r="I890" i="1"/>
  <c r="N890" i="1" s="1"/>
  <c r="I889" i="1"/>
  <c r="N889" i="1" s="1"/>
  <c r="I888" i="1"/>
  <c r="N888" i="1" s="1"/>
  <c r="I887" i="1"/>
  <c r="N887" i="1" s="1"/>
  <c r="I886" i="1"/>
  <c r="N886" i="1" s="1"/>
  <c r="I885" i="1"/>
  <c r="N885" i="1" s="1"/>
  <c r="I884" i="1"/>
  <c r="N884" i="1" s="1"/>
  <c r="I883" i="1"/>
  <c r="N883" i="1" s="1"/>
  <c r="I882" i="1"/>
  <c r="N882" i="1" s="1"/>
  <c r="I881" i="1"/>
  <c r="N881" i="1" s="1"/>
  <c r="I880" i="1"/>
  <c r="N880" i="1" s="1"/>
  <c r="I879" i="1"/>
  <c r="N879" i="1" s="1"/>
  <c r="I878" i="1"/>
  <c r="N878" i="1" s="1"/>
  <c r="I877" i="1"/>
  <c r="N877" i="1" s="1"/>
  <c r="I876" i="1"/>
  <c r="N876" i="1" s="1"/>
  <c r="I875" i="1"/>
  <c r="N875" i="1" s="1"/>
  <c r="I874" i="1"/>
  <c r="N874" i="1" s="1"/>
  <c r="I872" i="1"/>
  <c r="N872" i="1" s="1"/>
  <c r="I871" i="1"/>
  <c r="N871" i="1" s="1"/>
  <c r="I870" i="1"/>
  <c r="N870" i="1" s="1"/>
  <c r="I869" i="1"/>
  <c r="N869" i="1" s="1"/>
  <c r="I868" i="1"/>
  <c r="N868" i="1" s="1"/>
  <c r="I866" i="1"/>
  <c r="N866" i="1" s="1"/>
  <c r="I865" i="1"/>
  <c r="N865" i="1" s="1"/>
  <c r="I864" i="1"/>
  <c r="N864" i="1" s="1"/>
  <c r="I863" i="1"/>
  <c r="N863" i="1" s="1"/>
  <c r="I862" i="1"/>
  <c r="N862" i="1" s="1"/>
  <c r="I861" i="1"/>
  <c r="N861" i="1" s="1"/>
  <c r="I859" i="1"/>
  <c r="N859" i="1" s="1"/>
  <c r="I858" i="1"/>
  <c r="N858" i="1" s="1"/>
  <c r="I857" i="1"/>
  <c r="N857" i="1" s="1"/>
  <c r="I856" i="1"/>
  <c r="N856" i="1" s="1"/>
  <c r="I855" i="1"/>
  <c r="N855" i="1" s="1"/>
  <c r="I854" i="1"/>
  <c r="N854" i="1" s="1"/>
  <c r="I853" i="1"/>
  <c r="N853" i="1" s="1"/>
  <c r="I852" i="1"/>
  <c r="N852" i="1" s="1"/>
  <c r="I851" i="1"/>
  <c r="N851" i="1" s="1"/>
  <c r="I850" i="1"/>
  <c r="N850" i="1" s="1"/>
  <c r="I849" i="1"/>
  <c r="N849" i="1" s="1"/>
  <c r="I848" i="1"/>
  <c r="N848" i="1" s="1"/>
  <c r="I847" i="1"/>
  <c r="N847" i="1" s="1"/>
  <c r="I846" i="1"/>
  <c r="N846" i="1" s="1"/>
  <c r="I845" i="1"/>
  <c r="N845" i="1" s="1"/>
  <c r="I844" i="1"/>
  <c r="N844" i="1" s="1"/>
  <c r="I842" i="1"/>
  <c r="N842" i="1" s="1"/>
  <c r="I841" i="1"/>
  <c r="N841" i="1" s="1"/>
  <c r="I840" i="1"/>
  <c r="N840" i="1" s="1"/>
  <c r="I839" i="1"/>
  <c r="N839" i="1" s="1"/>
  <c r="I838" i="1"/>
  <c r="N838" i="1" s="1"/>
  <c r="I837" i="1"/>
  <c r="N837" i="1" s="1"/>
  <c r="I836" i="1"/>
  <c r="N836" i="1" s="1"/>
  <c r="I835" i="1"/>
  <c r="N835" i="1" s="1"/>
  <c r="I834" i="1"/>
  <c r="N834" i="1" s="1"/>
  <c r="I833" i="1"/>
  <c r="N833" i="1" s="1"/>
  <c r="I832" i="1"/>
  <c r="N832" i="1" s="1"/>
  <c r="I831" i="1"/>
  <c r="N831" i="1" s="1"/>
  <c r="I830" i="1"/>
  <c r="N830" i="1" s="1"/>
  <c r="I829" i="1"/>
  <c r="N829" i="1" s="1"/>
  <c r="I828" i="1"/>
  <c r="N828" i="1" s="1"/>
  <c r="I827" i="1"/>
  <c r="N827" i="1" s="1"/>
  <c r="I826" i="1"/>
  <c r="N826" i="1" s="1"/>
  <c r="I825" i="1"/>
  <c r="N825" i="1" s="1"/>
  <c r="I824" i="1"/>
  <c r="N824" i="1" s="1"/>
  <c r="I823" i="1"/>
  <c r="N823" i="1" s="1"/>
  <c r="I822" i="1"/>
  <c r="N822" i="1" s="1"/>
  <c r="I821" i="1"/>
  <c r="N821" i="1" s="1"/>
  <c r="I820" i="1"/>
  <c r="N820" i="1" s="1"/>
  <c r="I819" i="1"/>
  <c r="N819" i="1" s="1"/>
  <c r="I817" i="1"/>
  <c r="N817" i="1" s="1"/>
  <c r="I816" i="1"/>
  <c r="N816" i="1" s="1"/>
  <c r="I815" i="1"/>
  <c r="N815" i="1" s="1"/>
  <c r="I814" i="1"/>
  <c r="N814" i="1" s="1"/>
  <c r="I813" i="1"/>
  <c r="N813" i="1" s="1"/>
  <c r="I812" i="1"/>
  <c r="N812" i="1" s="1"/>
  <c r="I811" i="1"/>
  <c r="N811" i="1" s="1"/>
  <c r="I810" i="1"/>
  <c r="N810" i="1" s="1"/>
  <c r="I809" i="1"/>
  <c r="N809" i="1" s="1"/>
  <c r="I807" i="1"/>
  <c r="N807" i="1" s="1"/>
  <c r="I806" i="1"/>
  <c r="N806" i="1" s="1"/>
  <c r="I805" i="1"/>
  <c r="N805" i="1" s="1"/>
  <c r="I804" i="1"/>
  <c r="N804" i="1" s="1"/>
  <c r="I803" i="1"/>
  <c r="N803" i="1" s="1"/>
  <c r="I802" i="1"/>
  <c r="N802" i="1" s="1"/>
  <c r="I801" i="1"/>
  <c r="N801" i="1" s="1"/>
  <c r="I800" i="1"/>
  <c r="N800" i="1" s="1"/>
  <c r="I799" i="1"/>
  <c r="N799" i="1" s="1"/>
  <c r="I798" i="1"/>
  <c r="N798" i="1" s="1"/>
  <c r="I797" i="1"/>
  <c r="N797" i="1" s="1"/>
  <c r="I796" i="1"/>
  <c r="N796" i="1" s="1"/>
  <c r="I795" i="1"/>
  <c r="N795" i="1" s="1"/>
  <c r="I794" i="1"/>
  <c r="N794" i="1" s="1"/>
  <c r="I793" i="1"/>
  <c r="N793" i="1" s="1"/>
  <c r="I792" i="1"/>
  <c r="N792" i="1" s="1"/>
  <c r="I791" i="1"/>
  <c r="N791" i="1" s="1"/>
  <c r="I790" i="1"/>
  <c r="N790" i="1" s="1"/>
  <c r="I789" i="1"/>
  <c r="N789" i="1" s="1"/>
  <c r="I788" i="1"/>
  <c r="N788" i="1" s="1"/>
  <c r="I787" i="1"/>
  <c r="N787" i="1" s="1"/>
  <c r="I785" i="1"/>
  <c r="N785" i="1" s="1"/>
  <c r="I784" i="1"/>
  <c r="N784" i="1" s="1"/>
  <c r="I783" i="1"/>
  <c r="N783" i="1" s="1"/>
  <c r="I782" i="1"/>
  <c r="N782" i="1" s="1"/>
  <c r="I781" i="1"/>
  <c r="N781" i="1" s="1"/>
  <c r="I780" i="1"/>
  <c r="N780" i="1" s="1"/>
  <c r="I779" i="1"/>
  <c r="N779" i="1" s="1"/>
  <c r="I778" i="1"/>
  <c r="N778" i="1" s="1"/>
  <c r="I777" i="1"/>
  <c r="N777" i="1" s="1"/>
  <c r="I776" i="1"/>
  <c r="N776" i="1" s="1"/>
  <c r="I775" i="1"/>
  <c r="N775" i="1" s="1"/>
  <c r="I774" i="1"/>
  <c r="N774" i="1" s="1"/>
  <c r="I773" i="1"/>
  <c r="N773" i="1" s="1"/>
  <c r="I771" i="1"/>
  <c r="N771" i="1" s="1"/>
  <c r="I770" i="1"/>
  <c r="N770" i="1" s="1"/>
  <c r="I769" i="1"/>
  <c r="N769" i="1" s="1"/>
  <c r="I768" i="1"/>
  <c r="N768" i="1" s="1"/>
  <c r="I767" i="1"/>
  <c r="N767" i="1" s="1"/>
  <c r="I766" i="1"/>
  <c r="N766" i="1" s="1"/>
  <c r="I765" i="1"/>
  <c r="N765" i="1" s="1"/>
  <c r="I764" i="1"/>
  <c r="N764" i="1" s="1"/>
  <c r="I763" i="1"/>
  <c r="N763" i="1" s="1"/>
  <c r="I762" i="1"/>
  <c r="N762" i="1" s="1"/>
  <c r="I761" i="1"/>
  <c r="N761" i="1" s="1"/>
  <c r="I760" i="1"/>
  <c r="N760" i="1" s="1"/>
  <c r="I759" i="1"/>
  <c r="N759" i="1" s="1"/>
  <c r="I758" i="1"/>
  <c r="N758" i="1" s="1"/>
  <c r="I757" i="1"/>
  <c r="N757" i="1" s="1"/>
  <c r="I756" i="1"/>
  <c r="N756" i="1" s="1"/>
  <c r="I755" i="1"/>
  <c r="N755" i="1" s="1"/>
  <c r="I754" i="1"/>
  <c r="N754" i="1" s="1"/>
  <c r="I753" i="1"/>
  <c r="N753" i="1" s="1"/>
  <c r="I752" i="1"/>
  <c r="N752" i="1" s="1"/>
  <c r="I751" i="1"/>
  <c r="N751" i="1" s="1"/>
  <c r="I750" i="1"/>
  <c r="N750" i="1" s="1"/>
  <c r="I749" i="1"/>
  <c r="N749" i="1" s="1"/>
  <c r="I748" i="1"/>
  <c r="N748" i="1" s="1"/>
  <c r="I747" i="1"/>
  <c r="N747" i="1" s="1"/>
  <c r="I746" i="1"/>
  <c r="N746" i="1" s="1"/>
  <c r="I745" i="1"/>
  <c r="N745" i="1" s="1"/>
  <c r="I744" i="1"/>
  <c r="N744" i="1" s="1"/>
  <c r="I743" i="1"/>
  <c r="N743" i="1" s="1"/>
  <c r="I742" i="1"/>
  <c r="N742" i="1" s="1"/>
  <c r="I741" i="1"/>
  <c r="N741" i="1" s="1"/>
  <c r="I740" i="1"/>
  <c r="N740" i="1" s="1"/>
  <c r="I739" i="1"/>
  <c r="N739" i="1" s="1"/>
  <c r="I738" i="1"/>
  <c r="N738" i="1" s="1"/>
  <c r="I737" i="1"/>
  <c r="N737" i="1" s="1"/>
  <c r="I736" i="1"/>
  <c r="N736" i="1" s="1"/>
  <c r="I735" i="1"/>
  <c r="N735" i="1" s="1"/>
  <c r="I734" i="1"/>
  <c r="N734" i="1" s="1"/>
  <c r="I733" i="1"/>
  <c r="N733" i="1" s="1"/>
  <c r="I732" i="1"/>
  <c r="N732" i="1" s="1"/>
  <c r="I730" i="1"/>
  <c r="N730" i="1" s="1"/>
  <c r="I729" i="1"/>
  <c r="N729" i="1" s="1"/>
  <c r="I728" i="1"/>
  <c r="N728" i="1" s="1"/>
  <c r="I727" i="1"/>
  <c r="N727" i="1" s="1"/>
  <c r="I726" i="1"/>
  <c r="N726" i="1" s="1"/>
  <c r="I725" i="1"/>
  <c r="N725" i="1" s="1"/>
  <c r="I723" i="1"/>
  <c r="N723" i="1" s="1"/>
  <c r="I722" i="1"/>
  <c r="N722" i="1" s="1"/>
  <c r="I721" i="1"/>
  <c r="N721" i="1" s="1"/>
  <c r="I720" i="1"/>
  <c r="N720" i="1" s="1"/>
  <c r="I719" i="1"/>
  <c r="N719" i="1" s="1"/>
  <c r="I718" i="1"/>
  <c r="N718" i="1" s="1"/>
  <c r="I717" i="1"/>
  <c r="N717" i="1" s="1"/>
  <c r="I716" i="1"/>
  <c r="N716" i="1" s="1"/>
  <c r="I715" i="1"/>
  <c r="N715" i="1" s="1"/>
  <c r="I714" i="1"/>
  <c r="N714" i="1" s="1"/>
  <c r="I713" i="1"/>
  <c r="N713" i="1" s="1"/>
  <c r="I711" i="1"/>
  <c r="N711" i="1" s="1"/>
  <c r="I710" i="1"/>
  <c r="N710" i="1" s="1"/>
  <c r="I709" i="1"/>
  <c r="N709" i="1" s="1"/>
  <c r="I708" i="1"/>
  <c r="N708" i="1" s="1"/>
  <c r="I707" i="1"/>
  <c r="N707" i="1" s="1"/>
  <c r="I706" i="1"/>
  <c r="N706" i="1" s="1"/>
  <c r="I705" i="1"/>
  <c r="N705" i="1" s="1"/>
  <c r="I704" i="1"/>
  <c r="N704" i="1" s="1"/>
  <c r="I703" i="1"/>
  <c r="N703" i="1" s="1"/>
  <c r="I702" i="1"/>
  <c r="N702" i="1" s="1"/>
  <c r="I701" i="1"/>
  <c r="N701" i="1" s="1"/>
  <c r="I700" i="1"/>
  <c r="N700" i="1" s="1"/>
  <c r="I699" i="1"/>
  <c r="N699" i="1" s="1"/>
  <c r="I698" i="1"/>
  <c r="N698" i="1" s="1"/>
  <c r="I696" i="1"/>
  <c r="N696" i="1" s="1"/>
  <c r="I695" i="1"/>
  <c r="N695" i="1" s="1"/>
  <c r="I694" i="1"/>
  <c r="N694" i="1" s="1"/>
  <c r="I693" i="1"/>
  <c r="N693" i="1" s="1"/>
  <c r="I692" i="1"/>
  <c r="N692" i="1" s="1"/>
  <c r="I691" i="1"/>
  <c r="N691" i="1" s="1"/>
  <c r="I690" i="1"/>
  <c r="N690" i="1" s="1"/>
  <c r="I689" i="1"/>
  <c r="N689" i="1" s="1"/>
  <c r="I688" i="1"/>
  <c r="N688" i="1" s="1"/>
  <c r="I687" i="1"/>
  <c r="N687" i="1" s="1"/>
  <c r="I686" i="1"/>
  <c r="N686" i="1" s="1"/>
  <c r="I685" i="1"/>
  <c r="N685" i="1" s="1"/>
  <c r="I684" i="1"/>
  <c r="N684" i="1" s="1"/>
  <c r="I683" i="1"/>
  <c r="N683" i="1" s="1"/>
  <c r="I682" i="1"/>
  <c r="N682" i="1" s="1"/>
  <c r="I681" i="1"/>
  <c r="N681" i="1" s="1"/>
  <c r="I680" i="1"/>
  <c r="N680" i="1" s="1"/>
  <c r="I678" i="1"/>
  <c r="N678" i="1" s="1"/>
  <c r="I677" i="1"/>
  <c r="N677" i="1" s="1"/>
  <c r="I676" i="1"/>
  <c r="N676" i="1" s="1"/>
  <c r="I675" i="1"/>
  <c r="N675" i="1" s="1"/>
  <c r="I674" i="1"/>
  <c r="N674" i="1" s="1"/>
  <c r="I673" i="1"/>
  <c r="N673" i="1" s="1"/>
  <c r="I672" i="1"/>
  <c r="N672" i="1" s="1"/>
  <c r="I671" i="1"/>
  <c r="N671" i="1" s="1"/>
  <c r="I670" i="1"/>
  <c r="N670" i="1" s="1"/>
  <c r="I669" i="1"/>
  <c r="N669" i="1" s="1"/>
  <c r="I668" i="1"/>
  <c r="N668" i="1" s="1"/>
  <c r="I667" i="1"/>
  <c r="N667" i="1" s="1"/>
  <c r="I666" i="1"/>
  <c r="N666" i="1" s="1"/>
  <c r="I665" i="1"/>
  <c r="N665" i="1" s="1"/>
  <c r="I664" i="1"/>
  <c r="N664" i="1" s="1"/>
  <c r="I663" i="1"/>
  <c r="N663" i="1" s="1"/>
  <c r="I662" i="1"/>
  <c r="N662" i="1" s="1"/>
  <c r="I661" i="1"/>
  <c r="N661" i="1" s="1"/>
  <c r="I660" i="1"/>
  <c r="N660" i="1" s="1"/>
  <c r="I659" i="1"/>
  <c r="N659" i="1" s="1"/>
  <c r="I658" i="1"/>
  <c r="N658" i="1" s="1"/>
  <c r="I657" i="1"/>
  <c r="N657" i="1" s="1"/>
  <c r="I656" i="1"/>
  <c r="N656" i="1" s="1"/>
  <c r="I655" i="1"/>
  <c r="N655" i="1" s="1"/>
  <c r="I654" i="1"/>
  <c r="N654" i="1" s="1"/>
  <c r="I653" i="1"/>
  <c r="N653" i="1" s="1"/>
  <c r="I652" i="1"/>
  <c r="N652" i="1" s="1"/>
  <c r="I651" i="1"/>
  <c r="N651" i="1" s="1"/>
  <c r="I650" i="1"/>
  <c r="N650" i="1" s="1"/>
  <c r="I649" i="1"/>
  <c r="N649" i="1" s="1"/>
  <c r="I648" i="1"/>
  <c r="N648" i="1" s="1"/>
  <c r="I647" i="1"/>
  <c r="N647" i="1" s="1"/>
  <c r="I646" i="1"/>
  <c r="N646" i="1" s="1"/>
  <c r="I645" i="1"/>
  <c r="N645" i="1" s="1"/>
  <c r="I644" i="1"/>
  <c r="N644" i="1" s="1"/>
  <c r="I643" i="1"/>
  <c r="N643" i="1" s="1"/>
  <c r="I642" i="1"/>
  <c r="N642" i="1" s="1"/>
  <c r="I641" i="1"/>
  <c r="N641" i="1" s="1"/>
  <c r="I640" i="1"/>
  <c r="N640" i="1" s="1"/>
  <c r="I639" i="1"/>
  <c r="N639" i="1" s="1"/>
  <c r="I638" i="1"/>
  <c r="N638" i="1" s="1"/>
  <c r="I637" i="1"/>
  <c r="N637" i="1" s="1"/>
  <c r="I636" i="1"/>
  <c r="N636" i="1" s="1"/>
  <c r="I635" i="1"/>
  <c r="N635" i="1" s="1"/>
  <c r="I634" i="1"/>
  <c r="N634" i="1" s="1"/>
  <c r="I633" i="1"/>
  <c r="N633" i="1" s="1"/>
  <c r="I632" i="1"/>
  <c r="N632" i="1" s="1"/>
  <c r="I631" i="1"/>
  <c r="N631" i="1" s="1"/>
  <c r="I630" i="1"/>
  <c r="N630" i="1" s="1"/>
  <c r="I629" i="1"/>
  <c r="N629" i="1" s="1"/>
  <c r="I628" i="1"/>
  <c r="N628" i="1" s="1"/>
  <c r="I627" i="1"/>
  <c r="N627" i="1" s="1"/>
  <c r="I625" i="1"/>
  <c r="N625" i="1" s="1"/>
  <c r="I624" i="1"/>
  <c r="N624" i="1" s="1"/>
  <c r="I623" i="1"/>
  <c r="N623" i="1" s="1"/>
  <c r="I622" i="1"/>
  <c r="N622" i="1" s="1"/>
  <c r="I621" i="1"/>
  <c r="N621" i="1" s="1"/>
  <c r="I620" i="1"/>
  <c r="N620" i="1" s="1"/>
  <c r="I619" i="1"/>
  <c r="N619" i="1" s="1"/>
  <c r="I618" i="1"/>
  <c r="N618" i="1" s="1"/>
  <c r="I617" i="1"/>
  <c r="N617" i="1" s="1"/>
  <c r="I616" i="1"/>
  <c r="N616" i="1" s="1"/>
  <c r="I615" i="1"/>
  <c r="N615" i="1" s="1"/>
  <c r="I614" i="1"/>
  <c r="N614" i="1" s="1"/>
  <c r="I613" i="1"/>
  <c r="N613" i="1" s="1"/>
  <c r="I612" i="1"/>
  <c r="N612" i="1" s="1"/>
  <c r="I611" i="1"/>
  <c r="N611" i="1" s="1"/>
  <c r="I610" i="1"/>
  <c r="N610" i="1" s="1"/>
  <c r="I609" i="1"/>
  <c r="N609" i="1" s="1"/>
  <c r="I607" i="1"/>
  <c r="N607" i="1" s="1"/>
  <c r="I606" i="1"/>
  <c r="N606" i="1" s="1"/>
  <c r="I605" i="1"/>
  <c r="N605" i="1" s="1"/>
  <c r="I604" i="1"/>
  <c r="N604" i="1" s="1"/>
  <c r="I603" i="1"/>
  <c r="N603" i="1" s="1"/>
  <c r="I602" i="1"/>
  <c r="N602" i="1" s="1"/>
  <c r="I601" i="1"/>
  <c r="N601" i="1" s="1"/>
  <c r="I600" i="1"/>
  <c r="N600" i="1" s="1"/>
  <c r="I598" i="1"/>
  <c r="N598" i="1" s="1"/>
  <c r="I597" i="1"/>
  <c r="N597" i="1" s="1"/>
  <c r="I596" i="1"/>
  <c r="N596" i="1" s="1"/>
  <c r="I595" i="1"/>
  <c r="N595" i="1" s="1"/>
  <c r="I593" i="1"/>
  <c r="N593" i="1" s="1"/>
  <c r="I592" i="1"/>
  <c r="N592" i="1" s="1"/>
  <c r="I591" i="1"/>
  <c r="N591" i="1" s="1"/>
  <c r="I590" i="1"/>
  <c r="N590" i="1" s="1"/>
  <c r="I589" i="1"/>
  <c r="N589" i="1" s="1"/>
  <c r="I588" i="1"/>
  <c r="N588" i="1" s="1"/>
  <c r="I587" i="1"/>
  <c r="N587" i="1" s="1"/>
  <c r="I586" i="1"/>
  <c r="N586" i="1" s="1"/>
  <c r="I585" i="1"/>
  <c r="N585" i="1" s="1"/>
  <c r="I584" i="1"/>
  <c r="N584" i="1" s="1"/>
  <c r="I583" i="1"/>
  <c r="N583" i="1" s="1"/>
  <c r="I582" i="1"/>
  <c r="N582" i="1" s="1"/>
  <c r="I581" i="1"/>
  <c r="N581" i="1" s="1"/>
  <c r="I580" i="1"/>
  <c r="N580" i="1" s="1"/>
  <c r="I579" i="1"/>
  <c r="N579" i="1" s="1"/>
  <c r="I578" i="1"/>
  <c r="N578" i="1" s="1"/>
  <c r="I577" i="1"/>
  <c r="N577" i="1" s="1"/>
  <c r="I576" i="1"/>
  <c r="N576" i="1" s="1"/>
  <c r="I575" i="1"/>
  <c r="N575" i="1" s="1"/>
  <c r="I574" i="1"/>
  <c r="N574" i="1" s="1"/>
  <c r="I573" i="1"/>
  <c r="N573" i="1" s="1"/>
  <c r="I572" i="1"/>
  <c r="N572" i="1" s="1"/>
  <c r="I571" i="1"/>
  <c r="N571" i="1" s="1"/>
  <c r="I570" i="1"/>
  <c r="N570" i="1" s="1"/>
  <c r="I569" i="1"/>
  <c r="N569" i="1" s="1"/>
  <c r="I568" i="1"/>
  <c r="N568" i="1" s="1"/>
  <c r="I567" i="1"/>
  <c r="N567" i="1" s="1"/>
  <c r="I566" i="1"/>
  <c r="N566" i="1" s="1"/>
  <c r="I565" i="1"/>
  <c r="N565" i="1" s="1"/>
  <c r="I564" i="1"/>
  <c r="N564" i="1" s="1"/>
  <c r="I563" i="1"/>
  <c r="N563" i="1" s="1"/>
  <c r="I562" i="1"/>
  <c r="N562" i="1" s="1"/>
  <c r="I561" i="1"/>
  <c r="N561" i="1" s="1"/>
  <c r="I560" i="1"/>
  <c r="N560" i="1" s="1"/>
  <c r="I559" i="1"/>
  <c r="N559" i="1" s="1"/>
  <c r="I558" i="1"/>
  <c r="N558" i="1" s="1"/>
  <c r="I557" i="1"/>
  <c r="N557" i="1" s="1"/>
  <c r="I556" i="1"/>
  <c r="N556" i="1" s="1"/>
  <c r="I555" i="1"/>
  <c r="N555" i="1" s="1"/>
  <c r="I554" i="1"/>
  <c r="N554" i="1" s="1"/>
  <c r="I553" i="1"/>
  <c r="N553" i="1" s="1"/>
  <c r="I552" i="1"/>
  <c r="N552" i="1" s="1"/>
  <c r="I551" i="1"/>
  <c r="N551" i="1" s="1"/>
  <c r="I550" i="1"/>
  <c r="N550" i="1" s="1"/>
  <c r="I549" i="1"/>
  <c r="N549" i="1" s="1"/>
  <c r="I548" i="1"/>
  <c r="N548" i="1" s="1"/>
  <c r="I547" i="1"/>
  <c r="N547" i="1" s="1"/>
  <c r="I546" i="1"/>
  <c r="N546" i="1" s="1"/>
  <c r="I545" i="1"/>
  <c r="N545" i="1" s="1"/>
  <c r="I544" i="1"/>
  <c r="N544" i="1" s="1"/>
  <c r="I543" i="1"/>
  <c r="N543" i="1" s="1"/>
  <c r="I542" i="1"/>
  <c r="N542" i="1" s="1"/>
  <c r="I541" i="1"/>
  <c r="N541" i="1" s="1"/>
  <c r="I540" i="1"/>
  <c r="N540" i="1" s="1"/>
  <c r="I539" i="1"/>
  <c r="N539" i="1" s="1"/>
  <c r="I538" i="1"/>
  <c r="N538" i="1" s="1"/>
  <c r="I537" i="1"/>
  <c r="N537" i="1" s="1"/>
  <c r="I536" i="1"/>
  <c r="N536" i="1" s="1"/>
  <c r="I535" i="1"/>
  <c r="N535" i="1" s="1"/>
  <c r="I534" i="1"/>
  <c r="N534" i="1" s="1"/>
  <c r="I533" i="1"/>
  <c r="N533" i="1" s="1"/>
  <c r="I532" i="1"/>
  <c r="N532" i="1" s="1"/>
  <c r="I531" i="1"/>
  <c r="N531" i="1" s="1"/>
  <c r="I530" i="1"/>
  <c r="N530" i="1" s="1"/>
  <c r="I529" i="1"/>
  <c r="N529" i="1" s="1"/>
  <c r="I528" i="1"/>
  <c r="N528" i="1" s="1"/>
  <c r="I526" i="1"/>
  <c r="N526" i="1" s="1"/>
  <c r="I525" i="1"/>
  <c r="N525" i="1" s="1"/>
  <c r="I524" i="1"/>
  <c r="N524" i="1" s="1"/>
  <c r="I523" i="1"/>
  <c r="N523" i="1" s="1"/>
  <c r="I522" i="1"/>
  <c r="N522" i="1" s="1"/>
  <c r="I521" i="1"/>
  <c r="N521" i="1" s="1"/>
  <c r="I520" i="1"/>
  <c r="N520" i="1" s="1"/>
  <c r="I519" i="1"/>
  <c r="N519" i="1" s="1"/>
  <c r="I518" i="1"/>
  <c r="N518" i="1" s="1"/>
  <c r="I517" i="1"/>
  <c r="N517" i="1" s="1"/>
  <c r="I516" i="1"/>
  <c r="N516" i="1" s="1"/>
  <c r="I515" i="1"/>
  <c r="N515" i="1" s="1"/>
  <c r="I514" i="1"/>
  <c r="N514" i="1" s="1"/>
  <c r="I513" i="1"/>
  <c r="N513" i="1" s="1"/>
  <c r="I512" i="1"/>
  <c r="N512" i="1" s="1"/>
  <c r="I511" i="1"/>
  <c r="N511" i="1" s="1"/>
  <c r="I510" i="1"/>
  <c r="N510" i="1" s="1"/>
  <c r="I509" i="1"/>
  <c r="N509" i="1" s="1"/>
  <c r="I508" i="1"/>
  <c r="N508" i="1" s="1"/>
  <c r="I506" i="1"/>
  <c r="N506" i="1" s="1"/>
  <c r="I505" i="1"/>
  <c r="N505" i="1" s="1"/>
  <c r="I504" i="1"/>
  <c r="N504" i="1" s="1"/>
  <c r="I502" i="1"/>
  <c r="N502" i="1" s="1"/>
  <c r="I501" i="1"/>
  <c r="N501" i="1" s="1"/>
  <c r="I499" i="1"/>
  <c r="N499" i="1" s="1"/>
  <c r="I498" i="1"/>
  <c r="N498" i="1" s="1"/>
  <c r="I497" i="1"/>
  <c r="N497" i="1" s="1"/>
  <c r="I496" i="1"/>
  <c r="N496" i="1" s="1"/>
  <c r="I495" i="1"/>
  <c r="N495" i="1" s="1"/>
  <c r="I494" i="1"/>
  <c r="N494" i="1" s="1"/>
  <c r="I493" i="1"/>
  <c r="N493" i="1" s="1"/>
  <c r="I492" i="1"/>
  <c r="N492" i="1" s="1"/>
  <c r="I491" i="1"/>
  <c r="N491" i="1" s="1"/>
  <c r="I489" i="1"/>
  <c r="N489" i="1" s="1"/>
  <c r="I488" i="1"/>
  <c r="N488" i="1" s="1"/>
  <c r="I487" i="1"/>
  <c r="N487" i="1" s="1"/>
  <c r="I486" i="1"/>
  <c r="N486" i="1" s="1"/>
  <c r="I485" i="1"/>
  <c r="N485" i="1" s="1"/>
  <c r="I484" i="1"/>
  <c r="N484" i="1" s="1"/>
  <c r="I483" i="1"/>
  <c r="N483" i="1" s="1"/>
  <c r="I482" i="1"/>
  <c r="N482" i="1" s="1"/>
  <c r="I481" i="1"/>
  <c r="N481" i="1" s="1"/>
  <c r="I480" i="1"/>
  <c r="N480" i="1" s="1"/>
  <c r="I479" i="1"/>
  <c r="N479" i="1" s="1"/>
  <c r="I478" i="1"/>
  <c r="N478" i="1" s="1"/>
  <c r="I477" i="1"/>
  <c r="N477" i="1" s="1"/>
  <c r="I476" i="1"/>
  <c r="N476" i="1" s="1"/>
  <c r="I475" i="1"/>
  <c r="N475" i="1" s="1"/>
  <c r="I474" i="1"/>
  <c r="N474" i="1" s="1"/>
  <c r="I473" i="1"/>
  <c r="N473" i="1" s="1"/>
  <c r="I472" i="1"/>
  <c r="N472" i="1" s="1"/>
  <c r="I471" i="1"/>
  <c r="N471" i="1" s="1"/>
  <c r="I470" i="1"/>
  <c r="N470" i="1" s="1"/>
  <c r="I469" i="1"/>
  <c r="N469" i="1" s="1"/>
  <c r="I468" i="1"/>
  <c r="N468" i="1" s="1"/>
  <c r="I467" i="1"/>
  <c r="N467" i="1" s="1"/>
  <c r="I466" i="1"/>
  <c r="N466" i="1" s="1"/>
  <c r="I465" i="1"/>
  <c r="N465" i="1" s="1"/>
  <c r="I463" i="1"/>
  <c r="N463" i="1" s="1"/>
  <c r="I462" i="1"/>
  <c r="N462" i="1" s="1"/>
  <c r="I461" i="1"/>
  <c r="N461" i="1" s="1"/>
  <c r="I460" i="1"/>
  <c r="N460" i="1" s="1"/>
  <c r="I459" i="1"/>
  <c r="N459" i="1" s="1"/>
  <c r="I458" i="1"/>
  <c r="N458" i="1" s="1"/>
  <c r="I457" i="1"/>
  <c r="N457" i="1" s="1"/>
  <c r="I456" i="1"/>
  <c r="N456" i="1" s="1"/>
  <c r="I455" i="1"/>
  <c r="N455" i="1" s="1"/>
  <c r="I454" i="1"/>
  <c r="N454" i="1" s="1"/>
  <c r="I453" i="1"/>
  <c r="N453" i="1" s="1"/>
  <c r="I451" i="1"/>
  <c r="N451" i="1" s="1"/>
  <c r="I450" i="1"/>
  <c r="N450" i="1" s="1"/>
  <c r="I449" i="1"/>
  <c r="N449" i="1" s="1"/>
  <c r="I448" i="1"/>
  <c r="N448" i="1" s="1"/>
  <c r="I447" i="1"/>
  <c r="N447" i="1" s="1"/>
  <c r="I446" i="1"/>
  <c r="N446" i="1" s="1"/>
  <c r="I445" i="1"/>
  <c r="N445" i="1" s="1"/>
  <c r="I444" i="1"/>
  <c r="N444" i="1" s="1"/>
  <c r="I443" i="1"/>
  <c r="N443" i="1" s="1"/>
  <c r="I442" i="1"/>
  <c r="N442" i="1" s="1"/>
  <c r="I441" i="1"/>
  <c r="N441" i="1" s="1"/>
  <c r="I440" i="1"/>
  <c r="N440" i="1" s="1"/>
  <c r="I439" i="1"/>
  <c r="N439" i="1" s="1"/>
  <c r="I438" i="1"/>
  <c r="N438" i="1" s="1"/>
  <c r="I437" i="1"/>
  <c r="N437" i="1" s="1"/>
  <c r="I436" i="1"/>
  <c r="N436" i="1" s="1"/>
  <c r="I435" i="1"/>
  <c r="N435" i="1" s="1"/>
  <c r="I434" i="1"/>
  <c r="N434" i="1" s="1"/>
  <c r="I433" i="1"/>
  <c r="N433" i="1" s="1"/>
  <c r="I432" i="1"/>
  <c r="N432" i="1" s="1"/>
  <c r="I431" i="1"/>
  <c r="N431" i="1" s="1"/>
  <c r="I430" i="1"/>
  <c r="N430" i="1" s="1"/>
  <c r="I429" i="1"/>
  <c r="N429" i="1" s="1"/>
  <c r="I428" i="1"/>
  <c r="N428" i="1" s="1"/>
  <c r="I427" i="1"/>
  <c r="N427" i="1" s="1"/>
  <c r="I426" i="1"/>
  <c r="N426" i="1" s="1"/>
  <c r="I425" i="1"/>
  <c r="N425" i="1" s="1"/>
  <c r="I424" i="1"/>
  <c r="N424" i="1" s="1"/>
  <c r="I423" i="1"/>
  <c r="N423" i="1" s="1"/>
  <c r="I422" i="1"/>
  <c r="N422" i="1" s="1"/>
  <c r="I421" i="1"/>
  <c r="N421" i="1" s="1"/>
  <c r="I420" i="1"/>
  <c r="N420" i="1" s="1"/>
  <c r="I419" i="1"/>
  <c r="N419" i="1" s="1"/>
  <c r="I418" i="1"/>
  <c r="N418" i="1" s="1"/>
  <c r="I417" i="1"/>
  <c r="N417" i="1" s="1"/>
  <c r="I416" i="1"/>
  <c r="N416" i="1" s="1"/>
  <c r="I415" i="1"/>
  <c r="N415" i="1" s="1"/>
  <c r="I414" i="1"/>
  <c r="N414" i="1" s="1"/>
  <c r="I413" i="1"/>
  <c r="N413" i="1" s="1"/>
  <c r="I412" i="1"/>
  <c r="N412" i="1" s="1"/>
  <c r="I411" i="1"/>
  <c r="N411" i="1" s="1"/>
  <c r="I410" i="1"/>
  <c r="N410" i="1" s="1"/>
  <c r="I409" i="1"/>
  <c r="N409" i="1" s="1"/>
  <c r="I408" i="1"/>
  <c r="N408" i="1" s="1"/>
  <c r="I407" i="1"/>
  <c r="N407" i="1" s="1"/>
  <c r="I406" i="1"/>
  <c r="N406" i="1" s="1"/>
  <c r="I405" i="1"/>
  <c r="N405" i="1" s="1"/>
  <c r="I404" i="1"/>
  <c r="N404" i="1" s="1"/>
  <c r="I403" i="1"/>
  <c r="N403" i="1" s="1"/>
  <c r="I402" i="1"/>
  <c r="N402" i="1" s="1"/>
  <c r="I401" i="1"/>
  <c r="N401" i="1" s="1"/>
  <c r="I400" i="1"/>
  <c r="N400" i="1" s="1"/>
  <c r="I399" i="1"/>
  <c r="N399" i="1" s="1"/>
  <c r="I398" i="1"/>
  <c r="N398" i="1" s="1"/>
  <c r="I397" i="1"/>
  <c r="N397" i="1" s="1"/>
  <c r="I396" i="1"/>
  <c r="N396" i="1" s="1"/>
  <c r="I395" i="1"/>
  <c r="N395" i="1" s="1"/>
  <c r="I394" i="1"/>
  <c r="N394" i="1" s="1"/>
  <c r="I392" i="1"/>
  <c r="N392" i="1" s="1"/>
  <c r="I391" i="1"/>
  <c r="N391" i="1" s="1"/>
  <c r="I390" i="1"/>
  <c r="N390" i="1" s="1"/>
  <c r="I389" i="1"/>
  <c r="N389" i="1" s="1"/>
  <c r="I388" i="1"/>
  <c r="N388" i="1" s="1"/>
  <c r="I387" i="1"/>
  <c r="N387" i="1" s="1"/>
  <c r="I386" i="1"/>
  <c r="N386" i="1" s="1"/>
  <c r="I385" i="1"/>
  <c r="N385" i="1" s="1"/>
  <c r="I383" i="1"/>
  <c r="N383" i="1" s="1"/>
  <c r="I381" i="1"/>
  <c r="N381" i="1" s="1"/>
  <c r="I380" i="1"/>
  <c r="N380" i="1" s="1"/>
  <c r="I379" i="1"/>
  <c r="N379" i="1" s="1"/>
  <c r="I378" i="1"/>
  <c r="N378" i="1" s="1"/>
  <c r="I377" i="1"/>
  <c r="N377" i="1" s="1"/>
  <c r="I376" i="1"/>
  <c r="N376" i="1" s="1"/>
  <c r="I375" i="1"/>
  <c r="N375" i="1" s="1"/>
  <c r="I374" i="1"/>
  <c r="N374" i="1" s="1"/>
  <c r="I373" i="1"/>
  <c r="N373" i="1" s="1"/>
  <c r="I371" i="1"/>
  <c r="N371" i="1" s="1"/>
  <c r="I370" i="1"/>
  <c r="N370" i="1" s="1"/>
  <c r="I369" i="1"/>
  <c r="N369" i="1" s="1"/>
  <c r="I368" i="1"/>
  <c r="N368" i="1" s="1"/>
  <c r="I367" i="1"/>
  <c r="N367" i="1" s="1"/>
  <c r="I366" i="1"/>
  <c r="N366" i="1" s="1"/>
  <c r="I365" i="1"/>
  <c r="N365" i="1" s="1"/>
  <c r="I364" i="1"/>
  <c r="N364" i="1" s="1"/>
  <c r="I363" i="1"/>
  <c r="N363" i="1" s="1"/>
  <c r="I362" i="1"/>
  <c r="N362" i="1" s="1"/>
  <c r="I361" i="1"/>
  <c r="N361" i="1" s="1"/>
  <c r="I360" i="1"/>
  <c r="N360" i="1" s="1"/>
  <c r="I359" i="1"/>
  <c r="N359" i="1" s="1"/>
  <c r="I358" i="1"/>
  <c r="N358" i="1" s="1"/>
  <c r="I357" i="1"/>
  <c r="N357" i="1" s="1"/>
  <c r="I356" i="1"/>
  <c r="N356" i="1" s="1"/>
  <c r="I355" i="1"/>
  <c r="N355" i="1" s="1"/>
  <c r="I354" i="1"/>
  <c r="N354" i="1" s="1"/>
  <c r="I353" i="1"/>
  <c r="N353" i="1" s="1"/>
  <c r="I352" i="1"/>
  <c r="N352" i="1" s="1"/>
  <c r="I351" i="1"/>
  <c r="N351" i="1" s="1"/>
  <c r="I350" i="1"/>
  <c r="N350" i="1" s="1"/>
  <c r="I349" i="1"/>
  <c r="N349" i="1" s="1"/>
  <c r="I348" i="1"/>
  <c r="N348" i="1" s="1"/>
  <c r="I347" i="1"/>
  <c r="N347" i="1" s="1"/>
  <c r="I346" i="1"/>
  <c r="N346" i="1" s="1"/>
  <c r="I345" i="1"/>
  <c r="N345" i="1" s="1"/>
  <c r="I344" i="1"/>
  <c r="N344" i="1" s="1"/>
  <c r="I343" i="1"/>
  <c r="N343" i="1" s="1"/>
  <c r="I342" i="1"/>
  <c r="N342" i="1" s="1"/>
  <c r="I341" i="1"/>
  <c r="N341" i="1" s="1"/>
  <c r="I340" i="1"/>
  <c r="N340" i="1" s="1"/>
  <c r="I339" i="1"/>
  <c r="N339" i="1" s="1"/>
  <c r="I338" i="1"/>
  <c r="N338" i="1" s="1"/>
  <c r="I337" i="1"/>
  <c r="N337" i="1" s="1"/>
  <c r="I336" i="1"/>
  <c r="N336" i="1" s="1"/>
  <c r="I335" i="1"/>
  <c r="N335" i="1" s="1"/>
  <c r="I334" i="1"/>
  <c r="N334" i="1" s="1"/>
  <c r="I333" i="1"/>
  <c r="N333" i="1" s="1"/>
  <c r="I332" i="1"/>
  <c r="N332" i="1" s="1"/>
  <c r="I331" i="1"/>
  <c r="N331" i="1" s="1"/>
  <c r="I330" i="1"/>
  <c r="N330" i="1" s="1"/>
  <c r="I329" i="1"/>
  <c r="N329" i="1" s="1"/>
  <c r="I328" i="1"/>
  <c r="N328" i="1" s="1"/>
  <c r="I327" i="1"/>
  <c r="N327" i="1" s="1"/>
  <c r="I326" i="1"/>
  <c r="N326" i="1" s="1"/>
  <c r="I325" i="1"/>
  <c r="N325" i="1" s="1"/>
  <c r="I324" i="1"/>
  <c r="N324" i="1" s="1"/>
  <c r="I322" i="1"/>
  <c r="N322" i="1" s="1"/>
  <c r="I319" i="1"/>
  <c r="N319" i="1" s="1"/>
  <c r="I318" i="1"/>
  <c r="N318" i="1" s="1"/>
  <c r="I317" i="1"/>
  <c r="N317" i="1" s="1"/>
  <c r="I316" i="1"/>
  <c r="N316" i="1" s="1"/>
  <c r="I315" i="1"/>
  <c r="N315" i="1" s="1"/>
  <c r="I314" i="1"/>
  <c r="N314" i="1" s="1"/>
  <c r="I313" i="1"/>
  <c r="N313" i="1" s="1"/>
  <c r="I312" i="1"/>
  <c r="N312" i="1" s="1"/>
  <c r="I311" i="1"/>
  <c r="N311" i="1" s="1"/>
  <c r="I310" i="1"/>
  <c r="N310" i="1" s="1"/>
  <c r="I309" i="1"/>
  <c r="N309" i="1" s="1"/>
  <c r="I308" i="1"/>
  <c r="N308" i="1" s="1"/>
  <c r="I307" i="1"/>
  <c r="N307" i="1" s="1"/>
  <c r="I306" i="1"/>
  <c r="N306" i="1" s="1"/>
  <c r="I305" i="1"/>
  <c r="N305" i="1" s="1"/>
  <c r="I303" i="1"/>
  <c r="N303" i="1" s="1"/>
  <c r="I302" i="1"/>
  <c r="N302" i="1" s="1"/>
  <c r="I301" i="1"/>
  <c r="N301" i="1" s="1"/>
  <c r="I300" i="1"/>
  <c r="N300" i="1" s="1"/>
  <c r="I299" i="1"/>
  <c r="N299" i="1" s="1"/>
  <c r="I296" i="1"/>
  <c r="N296" i="1" s="1"/>
  <c r="I295" i="1"/>
  <c r="N295" i="1" s="1"/>
  <c r="I293" i="1"/>
  <c r="N293" i="1" s="1"/>
  <c r="I292" i="1"/>
  <c r="N292" i="1" s="1"/>
  <c r="I290" i="1"/>
  <c r="N290" i="1" s="1"/>
  <c r="I289" i="1"/>
  <c r="N289" i="1" s="1"/>
  <c r="I288" i="1"/>
  <c r="N288" i="1" s="1"/>
  <c r="I287" i="1"/>
  <c r="N287" i="1" s="1"/>
  <c r="I286" i="1"/>
  <c r="N286" i="1" s="1"/>
  <c r="I285" i="1"/>
  <c r="N285" i="1" s="1"/>
  <c r="I284" i="1"/>
  <c r="N284" i="1" s="1"/>
  <c r="I281" i="1"/>
  <c r="N281" i="1" s="1"/>
  <c r="I278" i="1"/>
  <c r="N278" i="1" s="1"/>
  <c r="I276" i="1"/>
  <c r="N276" i="1" s="1"/>
  <c r="I275" i="1"/>
  <c r="N275" i="1" s="1"/>
  <c r="I274" i="1"/>
  <c r="N274" i="1" s="1"/>
  <c r="I271" i="1"/>
  <c r="N271" i="1" s="1"/>
  <c r="I270" i="1"/>
  <c r="N270" i="1" s="1"/>
  <c r="I269" i="1"/>
  <c r="N269" i="1" s="1"/>
  <c r="I268" i="1"/>
  <c r="N268" i="1" s="1"/>
  <c r="I266" i="1"/>
  <c r="N266" i="1" s="1"/>
  <c r="I265" i="1"/>
  <c r="N265" i="1" s="1"/>
  <c r="I264" i="1"/>
  <c r="N264" i="1" s="1"/>
  <c r="I263" i="1"/>
  <c r="N263" i="1" s="1"/>
  <c r="I262" i="1"/>
  <c r="N262" i="1" s="1"/>
  <c r="I260" i="1"/>
  <c r="N260" i="1" s="1"/>
  <c r="I259" i="1"/>
  <c r="N259" i="1" s="1"/>
  <c r="I258" i="1"/>
  <c r="N258" i="1" s="1"/>
  <c r="I257" i="1"/>
  <c r="N257" i="1" s="1"/>
  <c r="I254" i="1"/>
  <c r="N254" i="1" s="1"/>
  <c r="I253" i="1"/>
  <c r="N253" i="1" s="1"/>
  <c r="I252" i="1"/>
  <c r="N252" i="1" s="1"/>
  <c r="I251" i="1"/>
  <c r="N251" i="1" s="1"/>
  <c r="I250" i="1"/>
  <c r="N250" i="1" s="1"/>
  <c r="I249" i="1"/>
  <c r="N249" i="1" s="1"/>
  <c r="I246" i="1"/>
  <c r="N246" i="1" s="1"/>
  <c r="I244" i="1"/>
  <c r="N244" i="1" s="1"/>
  <c r="I243" i="1"/>
  <c r="N243" i="1" s="1"/>
  <c r="I242" i="1"/>
  <c r="N242" i="1" s="1"/>
  <c r="I241" i="1"/>
  <c r="N241" i="1" s="1"/>
  <c r="I240" i="1"/>
  <c r="N240" i="1" s="1"/>
  <c r="I239" i="1"/>
  <c r="N239" i="1" s="1"/>
  <c r="I237" i="1"/>
  <c r="N237" i="1" s="1"/>
  <c r="I236" i="1"/>
  <c r="N236" i="1" s="1"/>
  <c r="I235" i="1"/>
  <c r="N235" i="1" s="1"/>
  <c r="I232" i="1"/>
  <c r="N232" i="1" s="1"/>
  <c r="I231" i="1"/>
  <c r="N231" i="1" s="1"/>
  <c r="I230" i="1"/>
  <c r="N230" i="1" s="1"/>
  <c r="I229" i="1"/>
  <c r="N229" i="1" s="1"/>
  <c r="I228" i="1"/>
  <c r="N228" i="1" s="1"/>
  <c r="I227" i="1"/>
  <c r="N227" i="1" s="1"/>
  <c r="I226" i="1"/>
  <c r="N226" i="1" s="1"/>
  <c r="I225" i="1"/>
  <c r="N225" i="1" s="1"/>
  <c r="I224" i="1"/>
  <c r="N224" i="1" s="1"/>
  <c r="I223" i="1"/>
  <c r="N223" i="1" s="1"/>
  <c r="I222" i="1"/>
  <c r="N222" i="1" s="1"/>
  <c r="I221" i="1"/>
  <c r="N221" i="1" s="1"/>
  <c r="I220" i="1"/>
  <c r="N220" i="1" s="1"/>
  <c r="I219" i="1"/>
  <c r="N219" i="1" s="1"/>
  <c r="I218" i="1"/>
  <c r="N218" i="1" s="1"/>
  <c r="I217" i="1"/>
  <c r="N217" i="1" s="1"/>
  <c r="I216" i="1"/>
  <c r="N216" i="1" s="1"/>
  <c r="I215" i="1"/>
  <c r="N215" i="1" s="1"/>
  <c r="I214" i="1"/>
  <c r="N214" i="1" s="1"/>
  <c r="I213" i="1"/>
  <c r="N213" i="1" s="1"/>
  <c r="I212" i="1"/>
  <c r="N212" i="1" s="1"/>
  <c r="I211" i="1"/>
  <c r="N211" i="1" s="1"/>
  <c r="I210" i="1"/>
  <c r="N210" i="1" s="1"/>
  <c r="I209" i="1"/>
  <c r="N209" i="1" s="1"/>
  <c r="I208" i="1"/>
  <c r="N208" i="1" s="1"/>
  <c r="I207" i="1"/>
  <c r="N207" i="1" s="1"/>
  <c r="I206" i="1"/>
  <c r="N206" i="1" s="1"/>
  <c r="I205" i="1"/>
  <c r="N205" i="1" s="1"/>
  <c r="I204" i="1"/>
  <c r="N204" i="1" s="1"/>
  <c r="I202" i="1"/>
  <c r="N202" i="1" s="1"/>
  <c r="I201" i="1"/>
  <c r="N201" i="1" s="1"/>
  <c r="I200" i="1"/>
  <c r="N200" i="1" s="1"/>
  <c r="I199" i="1"/>
  <c r="N199" i="1" s="1"/>
  <c r="I198" i="1"/>
  <c r="N198" i="1" s="1"/>
  <c r="I197" i="1"/>
  <c r="N197" i="1" s="1"/>
  <c r="I196" i="1"/>
  <c r="N196" i="1" s="1"/>
  <c r="I195" i="1"/>
  <c r="N195" i="1" s="1"/>
  <c r="I194" i="1"/>
  <c r="N194" i="1" s="1"/>
  <c r="I193" i="1"/>
  <c r="N193" i="1" s="1"/>
  <c r="I191" i="1"/>
  <c r="N191" i="1" s="1"/>
  <c r="I190" i="1"/>
  <c r="N190" i="1" s="1"/>
  <c r="I188" i="1"/>
  <c r="N188" i="1" s="1"/>
  <c r="I187" i="1"/>
  <c r="N187" i="1" s="1"/>
  <c r="I186" i="1"/>
  <c r="N186" i="1" s="1"/>
  <c r="I185" i="1"/>
  <c r="N185" i="1" s="1"/>
  <c r="I184" i="1"/>
  <c r="N184" i="1" s="1"/>
  <c r="I181" i="1"/>
  <c r="N181" i="1" s="1"/>
  <c r="I180" i="1"/>
  <c r="N180" i="1" s="1"/>
  <c r="I179" i="1"/>
  <c r="N179" i="1" s="1"/>
  <c r="I178" i="1"/>
  <c r="N178" i="1" s="1"/>
  <c r="I177" i="1"/>
  <c r="N177" i="1" s="1"/>
  <c r="I176" i="1"/>
  <c r="N176" i="1" s="1"/>
  <c r="I175" i="1"/>
  <c r="N175" i="1" s="1"/>
  <c r="I174" i="1"/>
  <c r="N174" i="1" s="1"/>
  <c r="I173" i="1"/>
  <c r="N173" i="1" s="1"/>
  <c r="I172" i="1"/>
  <c r="N172" i="1" s="1"/>
  <c r="I171" i="1"/>
  <c r="N171" i="1" s="1"/>
  <c r="I170" i="1"/>
  <c r="N170" i="1" s="1"/>
  <c r="I169" i="1"/>
  <c r="N169" i="1" s="1"/>
  <c r="I168" i="1"/>
  <c r="N168" i="1" s="1"/>
  <c r="I167" i="1"/>
  <c r="N167" i="1" s="1"/>
  <c r="I166" i="1"/>
  <c r="N166" i="1" s="1"/>
  <c r="I165" i="1"/>
  <c r="N165" i="1" s="1"/>
  <c r="I164" i="1"/>
  <c r="N164" i="1" s="1"/>
  <c r="I163" i="1"/>
  <c r="N163" i="1" s="1"/>
  <c r="I162" i="1"/>
  <c r="N162" i="1" s="1"/>
  <c r="I161" i="1"/>
  <c r="N161" i="1" s="1"/>
  <c r="I160" i="1"/>
  <c r="N160" i="1" s="1"/>
  <c r="I159" i="1"/>
  <c r="N159" i="1" s="1"/>
  <c r="I158" i="1"/>
  <c r="N158" i="1" s="1"/>
  <c r="I157" i="1"/>
  <c r="N157" i="1" s="1"/>
  <c r="I156" i="1"/>
  <c r="N156" i="1" s="1"/>
  <c r="I155" i="1"/>
  <c r="N155" i="1" s="1"/>
  <c r="I154" i="1"/>
  <c r="N154" i="1" s="1"/>
  <c r="I153" i="1"/>
  <c r="N153" i="1" s="1"/>
  <c r="I152" i="1"/>
  <c r="N152" i="1" s="1"/>
  <c r="I151" i="1"/>
  <c r="N151" i="1" s="1"/>
  <c r="I150" i="1"/>
  <c r="N150" i="1" s="1"/>
  <c r="I148" i="1"/>
  <c r="N148" i="1" s="1"/>
  <c r="I147" i="1"/>
  <c r="N147" i="1" s="1"/>
  <c r="I146" i="1"/>
  <c r="N146" i="1" s="1"/>
  <c r="I145" i="1"/>
  <c r="N145" i="1" s="1"/>
  <c r="I144" i="1"/>
  <c r="N144" i="1" s="1"/>
  <c r="I143" i="1"/>
  <c r="N143" i="1" s="1"/>
  <c r="I142" i="1"/>
  <c r="N142" i="1" s="1"/>
  <c r="I141" i="1"/>
  <c r="N141" i="1" s="1"/>
  <c r="I140" i="1"/>
  <c r="N140" i="1" s="1"/>
  <c r="I139" i="1"/>
  <c r="N139" i="1" s="1"/>
  <c r="I138" i="1"/>
  <c r="N138" i="1" s="1"/>
  <c r="I137" i="1"/>
  <c r="N137" i="1" s="1"/>
  <c r="I136" i="1"/>
  <c r="N136" i="1" s="1"/>
  <c r="I135" i="1"/>
  <c r="N135" i="1" s="1"/>
  <c r="I134" i="1"/>
  <c r="N134" i="1" s="1"/>
  <c r="I133" i="1"/>
  <c r="N133" i="1" s="1"/>
  <c r="I132" i="1"/>
  <c r="N132" i="1" s="1"/>
  <c r="I131" i="1"/>
  <c r="N131" i="1" s="1"/>
  <c r="I130" i="1"/>
  <c r="N130" i="1" s="1"/>
  <c r="I129" i="1"/>
  <c r="N129" i="1" s="1"/>
  <c r="I128" i="1"/>
  <c r="N128" i="1" s="1"/>
  <c r="I127" i="1"/>
  <c r="N127" i="1" s="1"/>
  <c r="I126" i="1"/>
  <c r="N126" i="1" s="1"/>
  <c r="I125" i="1"/>
  <c r="N125" i="1" s="1"/>
  <c r="I124" i="1"/>
  <c r="N124" i="1" s="1"/>
  <c r="I123" i="1"/>
  <c r="N123" i="1" s="1"/>
  <c r="I122" i="1"/>
  <c r="N122" i="1" s="1"/>
  <c r="I121" i="1"/>
  <c r="N121" i="1" s="1"/>
  <c r="I120" i="1"/>
  <c r="N120" i="1" s="1"/>
  <c r="I119" i="1"/>
  <c r="N119" i="1" s="1"/>
  <c r="I118" i="1"/>
  <c r="N118" i="1" s="1"/>
  <c r="I117" i="1"/>
  <c r="N117" i="1" s="1"/>
  <c r="I116" i="1"/>
  <c r="N116" i="1" s="1"/>
  <c r="I114" i="1"/>
  <c r="N114" i="1" s="1"/>
  <c r="I113" i="1"/>
  <c r="N113" i="1" s="1"/>
  <c r="I112" i="1"/>
  <c r="N112" i="1" s="1"/>
  <c r="I111" i="1"/>
  <c r="N111" i="1" s="1"/>
  <c r="I110" i="1"/>
  <c r="N110" i="1" s="1"/>
  <c r="I109" i="1"/>
  <c r="N109" i="1" s="1"/>
  <c r="I108" i="1"/>
  <c r="N108" i="1" s="1"/>
  <c r="I107" i="1"/>
  <c r="N107" i="1" s="1"/>
  <c r="I106" i="1"/>
  <c r="N106" i="1" s="1"/>
  <c r="I105" i="1"/>
  <c r="N105" i="1" s="1"/>
  <c r="I104" i="1"/>
  <c r="N104" i="1" s="1"/>
  <c r="I103" i="1"/>
  <c r="N103" i="1" s="1"/>
  <c r="I102" i="1"/>
  <c r="N102" i="1" s="1"/>
  <c r="I101" i="1"/>
  <c r="N101" i="1" s="1"/>
  <c r="I100" i="1"/>
  <c r="N100" i="1" s="1"/>
  <c r="I99" i="1"/>
  <c r="N99" i="1" s="1"/>
  <c r="I98" i="1"/>
  <c r="N98" i="1" s="1"/>
  <c r="I97" i="1"/>
  <c r="N97" i="1" s="1"/>
  <c r="I96" i="1"/>
  <c r="N96" i="1" s="1"/>
  <c r="I95" i="1"/>
  <c r="N95" i="1" s="1"/>
  <c r="I94" i="1"/>
  <c r="N94" i="1" s="1"/>
  <c r="I93" i="1"/>
  <c r="N93" i="1" s="1"/>
  <c r="I92" i="1"/>
  <c r="N92" i="1" s="1"/>
  <c r="I91" i="1"/>
  <c r="N91" i="1" s="1"/>
  <c r="I90" i="1"/>
  <c r="N90" i="1" s="1"/>
  <c r="I89" i="1"/>
  <c r="N89" i="1" s="1"/>
  <c r="I86" i="1"/>
  <c r="N86" i="1" s="1"/>
  <c r="I85" i="1"/>
  <c r="N85" i="1" s="1"/>
  <c r="I84" i="1"/>
  <c r="N84" i="1" s="1"/>
  <c r="I83" i="1"/>
  <c r="N83" i="1" s="1"/>
  <c r="I82" i="1"/>
  <c r="N82" i="1" s="1"/>
  <c r="I81" i="1"/>
  <c r="N81" i="1" s="1"/>
  <c r="I80" i="1"/>
  <c r="N80" i="1" s="1"/>
  <c r="I79" i="1"/>
  <c r="N79" i="1" s="1"/>
  <c r="I77" i="1"/>
  <c r="N77" i="1" s="1"/>
  <c r="I76" i="1"/>
  <c r="N76" i="1" s="1"/>
  <c r="I73" i="1"/>
  <c r="N73" i="1" s="1"/>
  <c r="I72" i="1"/>
  <c r="N72" i="1" s="1"/>
  <c r="I71" i="1"/>
  <c r="N71" i="1" s="1"/>
  <c r="I70" i="1"/>
  <c r="N70" i="1" s="1"/>
  <c r="I69" i="1"/>
  <c r="N69" i="1" s="1"/>
  <c r="I68" i="1"/>
  <c r="N68" i="1" s="1"/>
  <c r="I67" i="1"/>
  <c r="N67" i="1" s="1"/>
  <c r="I66" i="1"/>
  <c r="N66" i="1" s="1"/>
  <c r="I65" i="1"/>
  <c r="N65" i="1" s="1"/>
  <c r="I64" i="1"/>
  <c r="N64" i="1" s="1"/>
  <c r="I63" i="1"/>
  <c r="N63" i="1" s="1"/>
  <c r="I62" i="1"/>
  <c r="N62" i="1" s="1"/>
  <c r="I61" i="1"/>
  <c r="N61" i="1" s="1"/>
  <c r="I60" i="1"/>
  <c r="N60" i="1" s="1"/>
  <c r="I59" i="1"/>
  <c r="N59" i="1" s="1"/>
  <c r="I58" i="1"/>
  <c r="N58" i="1" s="1"/>
  <c r="I57" i="1"/>
  <c r="N57" i="1" s="1"/>
  <c r="I56" i="1"/>
  <c r="N56" i="1" s="1"/>
  <c r="I55" i="1"/>
  <c r="N55" i="1" s="1"/>
  <c r="I54" i="1"/>
  <c r="N54" i="1" s="1"/>
  <c r="I53" i="1"/>
  <c r="N53" i="1" s="1"/>
  <c r="I52" i="1"/>
  <c r="N52" i="1" s="1"/>
  <c r="I51" i="1"/>
  <c r="N51" i="1" s="1"/>
  <c r="I50" i="1"/>
  <c r="N50" i="1" s="1"/>
  <c r="I49" i="1"/>
  <c r="N49" i="1" s="1"/>
  <c r="I48" i="1"/>
  <c r="N48" i="1" s="1"/>
  <c r="I47" i="1"/>
  <c r="N47" i="1" s="1"/>
  <c r="I46" i="1"/>
  <c r="N46" i="1" s="1"/>
  <c r="I45" i="1"/>
  <c r="N45" i="1" s="1"/>
  <c r="I44" i="1"/>
  <c r="N44" i="1" s="1"/>
  <c r="I43" i="1"/>
  <c r="N43" i="1" s="1"/>
  <c r="I42" i="1"/>
  <c r="N42" i="1" s="1"/>
  <c r="I41" i="1"/>
  <c r="N41" i="1" s="1"/>
  <c r="I40" i="1"/>
  <c r="N40" i="1" s="1"/>
  <c r="I39" i="1"/>
  <c r="N39" i="1" s="1"/>
  <c r="I38" i="1"/>
  <c r="N38" i="1" s="1"/>
  <c r="I35" i="1"/>
  <c r="N35" i="1" s="1"/>
  <c r="I34" i="1"/>
  <c r="N34" i="1" s="1"/>
  <c r="I32" i="1"/>
  <c r="N32" i="1" s="1"/>
  <c r="I31" i="1"/>
  <c r="N31" i="1" s="1"/>
  <c r="I30" i="1"/>
  <c r="N30" i="1" s="1"/>
  <c r="I29" i="1"/>
  <c r="N29" i="1" s="1"/>
  <c r="I27" i="1"/>
  <c r="N27" i="1" s="1"/>
  <c r="I26" i="1"/>
  <c r="N26" i="1" s="1"/>
  <c r="I25" i="1"/>
  <c r="N25" i="1" s="1"/>
  <c r="I23" i="1"/>
  <c r="N23" i="1" s="1"/>
  <c r="I22" i="1"/>
  <c r="N22" i="1" s="1"/>
  <c r="I20" i="1"/>
  <c r="N20" i="1" s="1"/>
  <c r="I19" i="1"/>
  <c r="N19" i="1" s="1"/>
  <c r="I18" i="1"/>
  <c r="N18" i="1" s="1"/>
  <c r="I17" i="1"/>
  <c r="N17" i="1" s="1"/>
  <c r="I16" i="1"/>
  <c r="N16" i="1" s="1"/>
  <c r="I14" i="1"/>
  <c r="N14" i="1" s="1"/>
  <c r="I13" i="1"/>
  <c r="N13" i="1" s="1"/>
  <c r="I12" i="1"/>
  <c r="N12" i="1" s="1"/>
  <c r="I11" i="1"/>
  <c r="N11" i="1" s="1"/>
  <c r="I9" i="1"/>
  <c r="N9" i="1" s="1"/>
  <c r="I8" i="1"/>
  <c r="N8" i="1" s="1"/>
  <c r="N2" i="1" l="1"/>
</calcChain>
</file>

<file path=xl/sharedStrings.xml><?xml version="1.0" encoding="utf-8"?>
<sst xmlns="http://schemas.openxmlformats.org/spreadsheetml/2006/main" count="5559" uniqueCount="2823">
  <si>
    <t>Скидка:</t>
  </si>
  <si>
    <t>%</t>
  </si>
  <si>
    <t>Итого сумма/вес/объем:</t>
  </si>
  <si>
    <t>Код</t>
  </si>
  <si>
    <t>Артикул</t>
  </si>
  <si>
    <t>Бренд</t>
  </si>
  <si>
    <t>Наименование</t>
  </si>
  <si>
    <t>Ед.изм</t>
  </si>
  <si>
    <t>Категория товара</t>
  </si>
  <si>
    <t>Цена базовая</t>
  </si>
  <si>
    <t>Цена со скидкой</t>
  </si>
  <si>
    <t>Остаток</t>
  </si>
  <si>
    <t>Ожидаются поставки</t>
  </si>
  <si>
    <t>Дата поставки</t>
  </si>
  <si>
    <t>Заказ кол-во</t>
  </si>
  <si>
    <t>Заказ Сумма</t>
  </si>
  <si>
    <t>Вес</t>
  </si>
  <si>
    <t>Объем</t>
  </si>
  <si>
    <t>Инструмент</t>
  </si>
  <si>
    <t>Бензоинструмент</t>
  </si>
  <si>
    <t>Бензопилы</t>
  </si>
  <si>
    <t>GCS5261011</t>
  </si>
  <si>
    <t>INGCO</t>
  </si>
  <si>
    <t>Бензопила INGCO GCS5261011 0,7 кВт/1л.с, 10-25, 3/8, 1,27</t>
  </si>
  <si>
    <t>шт</t>
  </si>
  <si>
    <t>GCS5602411</t>
  </si>
  <si>
    <t>Бензопила INGCO GCS5602411 2.4/3.3 кВ/лс, шаг 3/8, 1.6мм 84зв, 60см</t>
  </si>
  <si>
    <t>Бензотриммеры</t>
  </si>
  <si>
    <t>GBC5434411</t>
  </si>
  <si>
    <t>Бензотриммер INGCO GBC5434411, V-42,7см3 двух-ный двиг 1,25кВт (нож3Т+леска) штанга н/р</t>
  </si>
  <si>
    <t>GBC5434421</t>
  </si>
  <si>
    <t>Бензотриммер INGCO GBC5434421, V-42,7см3 двух-ный двиг 1,25кВт (нож3Т+леска) штанга разбор.</t>
  </si>
  <si>
    <t>GBC5524411</t>
  </si>
  <si>
    <t>Бензотриммер INGCO GBC5524411, V-52см3 двух-ный двиг 1,4кВт (нож3Т+леска) штанга н/р.</t>
  </si>
  <si>
    <t>GBC5524421</t>
  </si>
  <si>
    <t>Бензотриммер INGCO GBC5524421, V-52см3 двух-ный двиг 1,4кВт (нож3Т+леска) штанга разбор.</t>
  </si>
  <si>
    <t>Виброплиты</t>
  </si>
  <si>
    <t>GCP060-2</t>
  </si>
  <si>
    <t>Виброплита бензиновая INGCO GCP060-2 INDUSTRIAL. 10,5 кН. 4.8 кВт. 6.5 л.с</t>
  </si>
  <si>
    <t>Стоп цена!</t>
  </si>
  <si>
    <t>GCP100-2</t>
  </si>
  <si>
    <t>Виброплита бензиновая INGCO GCP100-2 INDUSTRIAL. 15 кН 4.8 кВт 6.5 л.с</t>
  </si>
  <si>
    <t>GCP125-1</t>
  </si>
  <si>
    <t>Виброплита бензиновая INGCO GCP125-1 15 кН 4.8 кВт 6.5 л.с</t>
  </si>
  <si>
    <t>GCP125-2</t>
  </si>
  <si>
    <t>Виброплита бензиновая INGCO GCP125-2 15 кН 4.8 кВт 6.5 л.с</t>
  </si>
  <si>
    <t>GRT75-2</t>
  </si>
  <si>
    <t>Вибротрамбовка 4,8 кВт 6,5 л.с, 450-660 уд/мин, центроб. сила 10кН,  INGCO GRT75-2 INDUSTRIAL</t>
  </si>
  <si>
    <t>Воздуходувки</t>
  </si>
  <si>
    <t>WYQ2A25</t>
  </si>
  <si>
    <t>WADFOW</t>
  </si>
  <si>
    <t>Воздуходувка - пылесос бензиновая 25,4 см3 WADFOW WYQ2A25</t>
  </si>
  <si>
    <t>WYQ1A25</t>
  </si>
  <si>
    <t>Воздуходувка бензиновая 25,4 см3 WADFOW WYQ1A25</t>
  </si>
  <si>
    <t>Дизельные/газовые пушки</t>
  </si>
  <si>
    <t>WHTS1A20</t>
  </si>
  <si>
    <t>Дизельная тепловая пушка 20кВт WADFOW WHTS1A20</t>
  </si>
  <si>
    <t>WHTS1A30</t>
  </si>
  <si>
    <t>Дизельная тепловая пушка 30кВт WADFOW WHTS1A30</t>
  </si>
  <si>
    <t>WHTS1A50</t>
  </si>
  <si>
    <t>Дизельная тепловая пушка 50кВт WADFOW WHTS1A50</t>
  </si>
  <si>
    <t>Цепи для бензопилы</t>
  </si>
  <si>
    <t>AGSC51603</t>
  </si>
  <si>
    <t>Цепь пильная 16" INGCO AGSC51603 (3/8"; 1,1мм; 56 звеньев)  для GCSLI40168</t>
  </si>
  <si>
    <t>AGSC51601</t>
  </si>
  <si>
    <t>Цепь пильная INGCO AGSC51601 (3/8"; 1,3мм; 57 звеньев) для GCS5411611</t>
  </si>
  <si>
    <t>AGSC51801</t>
  </si>
  <si>
    <t>Цепь пильная INGCO AGSC51801 (0,325"; 1,5мм; 72 звена) для GCS5451811</t>
  </si>
  <si>
    <t>AGSC52401</t>
  </si>
  <si>
    <t>Цепь пильная INGCO AGSC52401 (3/8"; 1,6мм; 84 звена) для GCS5602411</t>
  </si>
  <si>
    <t>Шины для бензо-электропил</t>
  </si>
  <si>
    <t>AGSB51801</t>
  </si>
  <si>
    <t>Шина шаг 0,325, ширина паза 1,5 кол.звеньев 72, длина дюйм 18 INGCO AGSB51801</t>
  </si>
  <si>
    <t>AGSB51601</t>
  </si>
  <si>
    <t>Шина шаг 3/8, ширина паза 1,3, кол звеньев 57, длина дюйм 16" INGCO AGSB51601</t>
  </si>
  <si>
    <t>Ручной инструмент</t>
  </si>
  <si>
    <t>Автомобильный инструмент</t>
  </si>
  <si>
    <t>WUF1302</t>
  </si>
  <si>
    <t>Воронка гибкая 145 мм 2 в 1 WADFOW WUF1302</t>
  </si>
  <si>
    <t>WHJ1512</t>
  </si>
  <si>
    <t>Домкрат гидравлический 12 Т WADFOW WHJ1512</t>
  </si>
  <si>
    <t>WHJ1504</t>
  </si>
  <si>
    <t>Домкрат гидравлический 4 Т WADFOW WHJ1504</t>
  </si>
  <si>
    <t>WHJ2522</t>
  </si>
  <si>
    <t>Домкрат гидравлический подкатной 2 Т WADFOW WHJ2522</t>
  </si>
  <si>
    <t>WHJ2503</t>
  </si>
  <si>
    <t>Домкрат гидравлический подкатной 3 Т WADFOW WHJ2503</t>
  </si>
  <si>
    <t>WHJ2504</t>
  </si>
  <si>
    <t>Домкрат гидравлический подкатной 3 Т WADFOW WHJ2504</t>
  </si>
  <si>
    <t>WHJ2513</t>
  </si>
  <si>
    <t>Домкрат гидравлический подкатной 3 Т WADFOW WHJ2513</t>
  </si>
  <si>
    <t>WME3604</t>
  </si>
  <si>
    <t>Захват телескопический магнитный WADFOW WME3604</t>
  </si>
  <si>
    <t>WTU2655</t>
  </si>
  <si>
    <t>Зеркало телескопическое 260-850 мм, 55 мм WADFOW WTU2655</t>
  </si>
  <si>
    <t>AAC1601</t>
  </si>
  <si>
    <t>Компрессор автомобильный, 12V. 35 л/мин  INGCO AAC1601</t>
  </si>
  <si>
    <t>HRLF4415</t>
  </si>
  <si>
    <t>Лампа аккумуляторная  900 Лм INGCO HRLF4415</t>
  </si>
  <si>
    <t>HWLI043006</t>
  </si>
  <si>
    <t>Лампа рабочая Li-pol 4 В Type-C 300 Лм INGCO HWLI043006</t>
  </si>
  <si>
    <t>HWLI35261</t>
  </si>
  <si>
    <t>Лампа рабочая на подвесе лампа аккумуляторная INGCO HWLI35261</t>
  </si>
  <si>
    <t>WJW1101</t>
  </si>
  <si>
    <t>Лебедка барабанная 460 кг WADFOW WJW1101</t>
  </si>
  <si>
    <t>WHY2325</t>
  </si>
  <si>
    <t>Масленка 250 мл WADFOW WHY2325</t>
  </si>
  <si>
    <t>WYH1350</t>
  </si>
  <si>
    <t>Масленка 500 мл WADFOW WYH1350</t>
  </si>
  <si>
    <t>WGG3550</t>
  </si>
  <si>
    <t>Масляный шприц 500 см3 WADFOW WGG3550</t>
  </si>
  <si>
    <t>WQBS203</t>
  </si>
  <si>
    <t>Набор монтировок с ручками 3 шт WADFOW WQBS203</t>
  </si>
  <si>
    <t>упак</t>
  </si>
  <si>
    <t>WHY1A16</t>
  </si>
  <si>
    <t>Нагнетатель смазки ручной 16 кг WADFOW WHY1A16</t>
  </si>
  <si>
    <t>WHY2525</t>
  </si>
  <si>
    <t>Насос масляный ручной 25 л/мин WADFOW WHY2525</t>
  </si>
  <si>
    <t>HBTCP6008</t>
  </si>
  <si>
    <t>Провода прикуривания 600 Ампер 3м INGCO HBTCP6008</t>
  </si>
  <si>
    <t>компл</t>
  </si>
  <si>
    <t>HBTCP6008L</t>
  </si>
  <si>
    <t>Провода прикуривания 600 Ампер 3м INGCO HBTCP6008L</t>
  </si>
  <si>
    <t>WFL30001</t>
  </si>
  <si>
    <t>Светильник переносной  E27 75 Вт WADFOW WFL30001</t>
  </si>
  <si>
    <t>HRSP262</t>
  </si>
  <si>
    <t>Стяжной ремень с храповиком 1,5 т, 6м INGCO HRSP262</t>
  </si>
  <si>
    <t>HRSP2101</t>
  </si>
  <si>
    <t>Стяжной ремень с храповиком 2 т, 10м INGCO HRSP2101</t>
  </si>
  <si>
    <t>HRSP3101</t>
  </si>
  <si>
    <t>Стяжной ремень с храповиком 3 т, 10 м INGCO HRSP3101</t>
  </si>
  <si>
    <t>HRSP361</t>
  </si>
  <si>
    <t>Стяжной ремень с храповиком 3 т, 6 м INGCO HRSP361</t>
  </si>
  <si>
    <t>HRSP4101</t>
  </si>
  <si>
    <t>Стяжной ремень с храповиком 4 т, 10м INGCO HRSP4101</t>
  </si>
  <si>
    <t>HRSP065607</t>
  </si>
  <si>
    <t>Стяжной ремень с храповиком 4 шт 0,65 т, 6 м INGCO HRSP065607</t>
  </si>
  <si>
    <t>HRSP5101</t>
  </si>
  <si>
    <t>Стяжной ремень с храповиком 5 т, 10 м INGCO HRSP5101</t>
  </si>
  <si>
    <t>HSLB0015</t>
  </si>
  <si>
    <t>Таль цепная механическая рычажная 1,5 т. 1,5 м INGCO HSLB0015</t>
  </si>
  <si>
    <t>CWLI2088</t>
  </si>
  <si>
    <t>Фонарь аккумуляторный  20В, 2000 Лм INGCO CWLI2088 INDUSTRIAL</t>
  </si>
  <si>
    <t>HCFL1865051</t>
  </si>
  <si>
    <t>Фонарь аккумуляторный 450 лм INGCO HCFL1865051 INDUSTRIAL</t>
  </si>
  <si>
    <t>HHL013AAA8</t>
  </si>
  <si>
    <t>Фонарь налобный 200 Лм INGCO HHL013AAA8 INDUSTRIAL</t>
  </si>
  <si>
    <t>WGG1412</t>
  </si>
  <si>
    <t>Шприц плунжерный 120 см3 WADFOW WGG1412</t>
  </si>
  <si>
    <t>WGG2540</t>
  </si>
  <si>
    <t>Шприц плунжерный 400 см3 WADFOW WGG2540</t>
  </si>
  <si>
    <t>Валики, ролики, шубки, малярные емкости</t>
  </si>
  <si>
    <t>Валики искусственные</t>
  </si>
  <si>
    <t>HRHT042302</t>
  </si>
  <si>
    <t>Валик полиакрил 230 мм d18 INGCO HRHT042302 *</t>
  </si>
  <si>
    <t>HRC0523007</t>
  </si>
  <si>
    <t>Ролик акрил 230 мм d ворс 7 мм INGCO HRC0523007*</t>
  </si>
  <si>
    <t>Защитные средства</t>
  </si>
  <si>
    <t>HKPT0101</t>
  </si>
  <si>
    <t>Наколенники 215х180 мм INGCO HKPT0101 INDUSTRIAL (6)</t>
  </si>
  <si>
    <t>пар</t>
  </si>
  <si>
    <t>WKP1101</t>
  </si>
  <si>
    <t>Наколенники 230х150 мм WADFOW WKP1101</t>
  </si>
  <si>
    <t>HSG04</t>
  </si>
  <si>
    <t>Очки защитные открытые INGCO HSG04 (48)</t>
  </si>
  <si>
    <t>HSG05</t>
  </si>
  <si>
    <t>Очки защитные открытые INGCO HSG05 (12/60)</t>
  </si>
  <si>
    <t>HSG06</t>
  </si>
  <si>
    <t>Очки защитные открытые INGCO HSG06 (48)</t>
  </si>
  <si>
    <t>HSG07</t>
  </si>
  <si>
    <t>Очки защитные открытые INGCO HSG07 (48)</t>
  </si>
  <si>
    <t>HFSPC32</t>
  </si>
  <si>
    <t>Щиток защитный INGCO HFSPC32 INDUSTRIAL</t>
  </si>
  <si>
    <t>HFSPC21</t>
  </si>
  <si>
    <t>Щиток защитный сетчатый INGCO HFSPC21 INDUSTRIAL</t>
  </si>
  <si>
    <t>Измерительный инструмент</t>
  </si>
  <si>
    <t>Рулетки</t>
  </si>
  <si>
    <t>WRU1330</t>
  </si>
  <si>
    <t>Линейка 300 мм WADFOW WRU1330</t>
  </si>
  <si>
    <t>WRU1350</t>
  </si>
  <si>
    <t>Линейка 500 мм WADFOW WRU1350</t>
  </si>
  <si>
    <t>WRU1360</t>
  </si>
  <si>
    <t>Линейка 600 мм WADFOW WRU1360</t>
  </si>
  <si>
    <t>WSR3330</t>
  </si>
  <si>
    <t>Линейка стальная 1000 мм WADFOW WSR3330</t>
  </si>
  <si>
    <t>HSMT39316-1</t>
  </si>
  <si>
    <t>Рулетка  3м*16мм INGCO HSMT39316-1 (60)</t>
  </si>
  <si>
    <t>WMT4311</t>
  </si>
  <si>
    <t>Рулетка  3м*16мм WADFOW WMT4311</t>
  </si>
  <si>
    <t>HSMT08519-1</t>
  </si>
  <si>
    <t>Рулетка  5м*19мм INGCO HSMT08519-1 (60)</t>
  </si>
  <si>
    <t>HSMT26519-1</t>
  </si>
  <si>
    <t>Рулетка  5м*19мм INGCO HSMT26519-1 (60)</t>
  </si>
  <si>
    <t>WMT4321</t>
  </si>
  <si>
    <t>Рулетка  5м*19мм WADFOW WMT4321</t>
  </si>
  <si>
    <t>HSMT39525-1</t>
  </si>
  <si>
    <t>Рулетка  5м*25 мм,  INGCO HSMT39525-1 (60)</t>
  </si>
  <si>
    <t>HSMT26525-1</t>
  </si>
  <si>
    <t>Рулетка  5м*25мм INGCO HSMT26525-1 (40)</t>
  </si>
  <si>
    <t>WMT4331</t>
  </si>
  <si>
    <t>Рулетка  5м*25мм WADFOW WMT4331</t>
  </si>
  <si>
    <t>HSMT80532M</t>
  </si>
  <si>
    <t>Рулетка  5м*32 мм INGCO HSMT80532M INDUSTRIAL</t>
  </si>
  <si>
    <t>WMT4341</t>
  </si>
  <si>
    <t>Рулетка  7.5м*25мм WADFOW WMT4341</t>
  </si>
  <si>
    <t>HSMT39825-1</t>
  </si>
  <si>
    <t>Рулетка  8м*25мм INGCO  HSMT39825-1 (30)</t>
  </si>
  <si>
    <t>HSMT80832M</t>
  </si>
  <si>
    <t>Рулетка  8м*32 мм INGCO HSMT80832M INDUSTRIAL</t>
  </si>
  <si>
    <t>Хит!</t>
  </si>
  <si>
    <t>HSMT8420</t>
  </si>
  <si>
    <t>Рулетка геодезическая  20*12,5 мм стальная лента INGCO HSMT8420</t>
  </si>
  <si>
    <t>WMT2520</t>
  </si>
  <si>
    <t>Рулетка геодезическая  20*12,5 мм фибергласовая WADFOW WMT2520</t>
  </si>
  <si>
    <t>HFMT1820</t>
  </si>
  <si>
    <t>Рулетка геодезическая  20*15 мм фибергласовая INGCO HFMT1820 INDUSTRIAL</t>
  </si>
  <si>
    <t>HSMT8430</t>
  </si>
  <si>
    <t>Рулетка геодезическая  30*12,5 мм стальная лента INGCO HSMT8430</t>
  </si>
  <si>
    <t>WMT2530</t>
  </si>
  <si>
    <t>Рулетка геодезическая  30*12,5 мм фибергласовая WADFOW WMT2530</t>
  </si>
  <si>
    <t>HFMT1830</t>
  </si>
  <si>
    <t>Рулетка геодезическая  30*15 мм фибергласовая INGCO HFMT1830 INDUSTRIAL</t>
  </si>
  <si>
    <t>HFMT1850</t>
  </si>
  <si>
    <t>Рулетка геодезическая  50*15 мм фибергласовая INGCO HFMT1850 INDUSTRIAL</t>
  </si>
  <si>
    <t>WMT25100</t>
  </si>
  <si>
    <t>Рулетка геодезическая 100*12,5 мм фибергласовая WADFOW WMT25100</t>
  </si>
  <si>
    <t>WRZ3318</t>
  </si>
  <si>
    <t>Шнур каменщика 1,5ммХ100м WADFOW WRZ3318</t>
  </si>
  <si>
    <t>HVC01150</t>
  </si>
  <si>
    <t>Штангенциркуль 150мм 0,2мм INGCO HVC01150 (50)</t>
  </si>
  <si>
    <t>Уровни</t>
  </si>
  <si>
    <t>HLL306505</t>
  </si>
  <si>
    <t>Лазерный нивелир 30м INGCO HLL306505</t>
  </si>
  <si>
    <t>HLL301201</t>
  </si>
  <si>
    <t>Лазерный нивелир аккумуляторный 16В 35 м INGCO HLL301201 INDUSTRIAL</t>
  </si>
  <si>
    <t>HLL156503</t>
  </si>
  <si>
    <t>Лазерный уровень 18 м INGCO HLL156503 INDUSTRIAL</t>
  </si>
  <si>
    <t>WRP1606</t>
  </si>
  <si>
    <t>Отвес магнитный строительный 6 м, 400 г WADFOW WRP1606</t>
  </si>
  <si>
    <t>WSR2915</t>
  </si>
  <si>
    <t>Угольник 150 мм WADFOW WSR2915</t>
  </si>
  <si>
    <t>WSR2920</t>
  </si>
  <si>
    <t>Угольник 200 мм WADFOW WSR2920</t>
  </si>
  <si>
    <t>WSR2925</t>
  </si>
  <si>
    <t>Угольник 250 мм WADFOW WSR2925</t>
  </si>
  <si>
    <t>HAS123002</t>
  </si>
  <si>
    <t>Угольник 300 мм INGCO HAS123002 INDUSTRIAL металлический</t>
  </si>
  <si>
    <t>WSR2930</t>
  </si>
  <si>
    <t>Угольник 300 мм WADFOW WSR2930</t>
  </si>
  <si>
    <t>WSR4330</t>
  </si>
  <si>
    <t>Угольник 300х150 мм WADFOW WSR4330</t>
  </si>
  <si>
    <t>WSR2935</t>
  </si>
  <si>
    <t>Угольник 350 мм WADFOW WSR2935</t>
  </si>
  <si>
    <t>WSR2950</t>
  </si>
  <si>
    <t>Угольник 500 мм WADFOW WSR2950</t>
  </si>
  <si>
    <t>WSR4350</t>
  </si>
  <si>
    <t>Угольник 500х250 мм WADFOW WSR4350</t>
  </si>
  <si>
    <t>HAS181501</t>
  </si>
  <si>
    <t>Угольник кровельный 180 мм INGCO HAS181501</t>
  </si>
  <si>
    <t>HAS3001</t>
  </si>
  <si>
    <t>Угольник кровельный 300 мм INGCO HAS3001</t>
  </si>
  <si>
    <t>WSL4320</t>
  </si>
  <si>
    <t>Уровень  225мм пластик. 3 глазка WADFOW WSL4320</t>
  </si>
  <si>
    <t>WSL2G30</t>
  </si>
  <si>
    <t>Уровень  300мм алюм. 2 глазка WADFOW WSL2G30</t>
  </si>
  <si>
    <t>HSL38030M</t>
  </si>
  <si>
    <t>Уровень  300мм алюм.магнит 3 глазка короб INGCO HSL38030M INDUSTRIAL (50)</t>
  </si>
  <si>
    <t>WSL2G40</t>
  </si>
  <si>
    <t>Уровень  400мм алюм. 2 глазка WADFOW WSL2G40</t>
  </si>
  <si>
    <t>HSL38040M</t>
  </si>
  <si>
    <t>Уровень  400мм алюм.магнит 3 глазка короб INGCO HSL38040M INDUSTRIAL (50)</t>
  </si>
  <si>
    <t>WSL2G60</t>
  </si>
  <si>
    <t>Уровень  600мм алюм. 2 глазка WADFOW WSL2G60</t>
  </si>
  <si>
    <t>WSL2G80</t>
  </si>
  <si>
    <t>Уровень  800мм алюм. 2 глазка WADFOW WSL2G80</t>
  </si>
  <si>
    <t>HSL38080M</t>
  </si>
  <si>
    <t>Уровень  800мм алюм.магнит 3 глазка короб INGCO HSL38080M (20)</t>
  </si>
  <si>
    <t>WSL2G100</t>
  </si>
  <si>
    <t>Уровень 1000мм алюм. 2 глазка  WADFOW WSL2G100</t>
  </si>
  <si>
    <t>HSL28100</t>
  </si>
  <si>
    <t>Уровень 1000мм алюм. 3 глазка, магнитный  INGCO HSL28100</t>
  </si>
  <si>
    <t>HSL38100M</t>
  </si>
  <si>
    <t>Уровень 1000мм алюм.магнит 3 глазка короб INGCO HSL38100М (20)</t>
  </si>
  <si>
    <t>WSL2G120</t>
  </si>
  <si>
    <t>Уровень 1200мм алюм. 2 глазка WADFOW WSL2G120</t>
  </si>
  <si>
    <t>HSL28120</t>
  </si>
  <si>
    <t>Уровень 1200мм алюм. магнит 3 глазка INGCO HSL28120</t>
  </si>
  <si>
    <t>HSL38120M</t>
  </si>
  <si>
    <t>Уровень 1200мм алюм.магнит 3 глазка короб INGCO HSL38120M (20)</t>
  </si>
  <si>
    <t>WSL2G150</t>
  </si>
  <si>
    <t>Уровень 1500мм  алюм.  2 глазка WADFOW WSL2G150</t>
  </si>
  <si>
    <t>HSL68150</t>
  </si>
  <si>
    <t>Уровень 1500мм алюм. 3 глазка, усиленный, магнит INGCO HSL68150 INDUSTRIAL(20)</t>
  </si>
  <si>
    <t>HSL38150M</t>
  </si>
  <si>
    <t>Уровень 1500мм алюм.магнит 3 глазка короб INGCO HSL38150M (20)</t>
  </si>
  <si>
    <t>HLLT01152</t>
  </si>
  <si>
    <t>Штатив для лазерного уровня с выдвижным механ. 1,2м INGCO HLLT01152</t>
  </si>
  <si>
    <t>Инструмент ручной разное</t>
  </si>
  <si>
    <t>WWE1525</t>
  </si>
  <si>
    <t>Верстак столярный складной 605х630х750 мм WADFOW WWE1525</t>
  </si>
  <si>
    <t>WHH1618</t>
  </si>
  <si>
    <t>Держатель магнитный для инструмента 450 мм WADFOW WHH1618</t>
  </si>
  <si>
    <t>WGX1K41</t>
  </si>
  <si>
    <t>Клей универсальный 24 мл WADFOW WGX1K41</t>
  </si>
  <si>
    <t>WPL5617</t>
  </si>
  <si>
    <t>Клещи для удаления изоляции 180 мм WADFOW WPL5617</t>
  </si>
  <si>
    <t>WPL5627</t>
  </si>
  <si>
    <t>Клещи для удаления изоляции 180 мм WADFOW WPL5627</t>
  </si>
  <si>
    <t>WCP1609</t>
  </si>
  <si>
    <t>Клещи обжимные 0.5-6 мм2 228 мм WADFOW WCP1609</t>
  </si>
  <si>
    <t>WCP3609</t>
  </si>
  <si>
    <t>Клещи обжимные 0.5-6 мм2 228 мм WADFOW WCP3609</t>
  </si>
  <si>
    <t>WCP2609</t>
  </si>
  <si>
    <t>Клещи обжимные 1.5-6 мм2 228 мм WADFOW WCP2609</t>
  </si>
  <si>
    <t>WMC6001</t>
  </si>
  <si>
    <t>Лоток магнитный 150 мм WADFOW WMC6001</t>
  </si>
  <si>
    <t>WHV1401</t>
  </si>
  <si>
    <t>Магнитный браслет для крепежа WADFOW WHV1401</t>
  </si>
  <si>
    <t>WHV1402</t>
  </si>
  <si>
    <t>Магнитный браслет для крепежа WADFOW WHV1402</t>
  </si>
  <si>
    <t>DCM100014</t>
  </si>
  <si>
    <t>Мультиметр цифровой INGCO DCM100014 (20)</t>
  </si>
  <si>
    <t>DCM6003</t>
  </si>
  <si>
    <t>Мультиметр цифровой INGCO DCM6003 INDUSTRIAL (20)</t>
  </si>
  <si>
    <t>DCM6005</t>
  </si>
  <si>
    <t>Мультиметр цифровой INGCO DCM6005 INDUSTRIAL (20)</t>
  </si>
  <si>
    <t>DCM62001</t>
  </si>
  <si>
    <t>Мультиметр цифровой INGCO DCM62001 INDUSTRIAL</t>
  </si>
  <si>
    <t>DM6001</t>
  </si>
  <si>
    <t>Мультиметр цифровой INGCO DM6001 (20)</t>
  </si>
  <si>
    <t>DM7505</t>
  </si>
  <si>
    <t>Мультиметр цифровой INGCO DM7505 (20)</t>
  </si>
  <si>
    <t>WSX8604</t>
  </si>
  <si>
    <t>Ножницы для резки кабеля 175 мм WADFOW WSX8604</t>
  </si>
  <si>
    <t>HWSP15608</t>
  </si>
  <si>
    <t>Стрипер для удаления изоляции 0.5~6 мм INGCO HWSP15608 INDUSTRIAL</t>
  </si>
  <si>
    <t>WBQ3606</t>
  </si>
  <si>
    <t>Стриппер автоматический 160 мм WADFOW WBQ3606</t>
  </si>
  <si>
    <t>WBQ9601</t>
  </si>
  <si>
    <t>Стриппер автоматический 180 мм WADFOW WBQ9601</t>
  </si>
  <si>
    <t>WBQ8401</t>
  </si>
  <si>
    <t>Стриппер для удаления изоляции 178 мм WADFOW WBQ8401</t>
  </si>
  <si>
    <t>HWSP102418</t>
  </si>
  <si>
    <t>Стриппер многофункциональный 0.2-6 мм2  INGCO HWSP102418 INDUSTRIAL</t>
  </si>
  <si>
    <t>HWSP102429</t>
  </si>
  <si>
    <t>Стриппер многофункциональный 0.2-6 мм2 4 в 1 INGCO HWSP102429 INDUSTRIAL</t>
  </si>
  <si>
    <t>HWSP851</t>
  </si>
  <si>
    <t>Стриппер многофункциональный 215мм  INGCO HWSP851</t>
  </si>
  <si>
    <t>WGX1523</t>
  </si>
  <si>
    <t>Супер клей 20 г WADFOW WGX1523</t>
  </si>
  <si>
    <t>WGX1K11</t>
  </si>
  <si>
    <t>Супер клей 20 г WADFOW WGX1K11</t>
  </si>
  <si>
    <t>HSGU3122</t>
  </si>
  <si>
    <t>Супер клей 3 г 12 шт INGCO HSGU3122</t>
  </si>
  <si>
    <t>WGX1K01</t>
  </si>
  <si>
    <t>Супер клей 3 г WADFOW WGX1K01</t>
  </si>
  <si>
    <t>WGX1K02</t>
  </si>
  <si>
    <t>Супер клей 3 г, 2 шт WADFOW WGX1K02</t>
  </si>
  <si>
    <t>WGX1K12</t>
  </si>
  <si>
    <t>Супер клей 5 г WADFOW WGX1K12</t>
  </si>
  <si>
    <t>WGX1K04</t>
  </si>
  <si>
    <t>Супер клей 5 г,  WADFOW WGX1K04 (отгрузка кратно упаковки 12шт)</t>
  </si>
  <si>
    <t>Кисти, макловицы, ракли</t>
  </si>
  <si>
    <t>Кисти разное</t>
  </si>
  <si>
    <t>CHPTB8704</t>
  </si>
  <si>
    <t>Кисть плоская для масла 100*51 двухкомпонентная ручка INGCO CHPTB8704*</t>
  </si>
  <si>
    <t>CHPTB8715</t>
  </si>
  <si>
    <t>Кисть плоская для масла 38*51 двухкомпонентная ручка INGCO CHPTB8715*</t>
  </si>
  <si>
    <t>CHPTB8702</t>
  </si>
  <si>
    <t>Кисть плоская для масла 50*51 двухкомпонентная ручка INGCO CHPTB8702*</t>
  </si>
  <si>
    <t>CHPTB8725</t>
  </si>
  <si>
    <t>Кисть плоская для масла 63*51 двухкомпонентная ручка INGCO CHPTB8725*</t>
  </si>
  <si>
    <t>CHPTB8703</t>
  </si>
  <si>
    <t>Кисть плоская для масла 75*51 двухкомпонентная ручка INGCO CHPTB8703*</t>
  </si>
  <si>
    <t>Макловицы</t>
  </si>
  <si>
    <t>HCLB100308</t>
  </si>
  <si>
    <t>Ракля 28х100мм светлая щетина INGCO HCLB100308*</t>
  </si>
  <si>
    <t>HCLB120308</t>
  </si>
  <si>
    <t>Ракля 28х120мм светлая щетина INGCO HCLB120308*</t>
  </si>
  <si>
    <t>Маркеры, карандаши, шнуры</t>
  </si>
  <si>
    <t>WMB3K06</t>
  </si>
  <si>
    <t>Карандаш механический WADFOW WMB3K06 7 стержней</t>
  </si>
  <si>
    <t>WMQ1512</t>
  </si>
  <si>
    <t>Карандаш строительный WADFOW WMQ1512 12 шт (черный)</t>
  </si>
  <si>
    <t>WMQ2512</t>
  </si>
  <si>
    <t>Карандаш строительный WADFOW WMQ2512 12 шт (красный/синий)</t>
  </si>
  <si>
    <t>WJM1501</t>
  </si>
  <si>
    <t>Маркер перманентный WADFOW WJM1501 2-3мм черный пулевидный 12шт</t>
  </si>
  <si>
    <t>WJM1502</t>
  </si>
  <si>
    <t>Маркер перманентный WADFOW WJM1502 2-3мм синий пулевидный 12шт</t>
  </si>
  <si>
    <t>WJM1503</t>
  </si>
  <si>
    <t>Маркер перманентный WADFOW WJM1503 2-3мм красный пулевидный 12шт</t>
  </si>
  <si>
    <t>WJM3501</t>
  </si>
  <si>
    <t>Маркер-краска WADFOW 2,5–3 мм (цвет - белый) (круглый, нитро - основа)  WJM3501, 12 шт</t>
  </si>
  <si>
    <t>WMB4506</t>
  </si>
  <si>
    <t>Мелки разметочные WADFOW WMB4506 6шт (красный)</t>
  </si>
  <si>
    <t>HCLR0630</t>
  </si>
  <si>
    <t>Шнур разметочный 30 м INGCO HCLR0630 INDUSTRIAL</t>
  </si>
  <si>
    <t>HCLR0130</t>
  </si>
  <si>
    <t>Шнур разметочный 30 метров INGCO HCLR0130</t>
  </si>
  <si>
    <t>Ножи, лезвия</t>
  </si>
  <si>
    <t>HKNSB0901</t>
  </si>
  <si>
    <t>Лезвие  9 мм сегментированное 10 шт INGCO HKNSB0901 (10/120)</t>
  </si>
  <si>
    <t>WMK1K09</t>
  </si>
  <si>
    <t>Лезвие  9 мм сегментированное 10 шт WADFOW WMK1K09</t>
  </si>
  <si>
    <t>HKNCB181</t>
  </si>
  <si>
    <t>Лезвие 18 мм сегментированное 10 шт INGCO HKNCB181 INDUSTRIAL</t>
  </si>
  <si>
    <t>HKNSB112</t>
  </si>
  <si>
    <t>Лезвие 18 мм сегментированное 10 шт INGCO HKNSB112 (10/120)</t>
  </si>
  <si>
    <t>WMK1K18</t>
  </si>
  <si>
    <t>Лезвие 18 мм сегментированное 10 шт WADFOW WMK1K18</t>
  </si>
  <si>
    <t>HUKB61001</t>
  </si>
  <si>
    <t>Лезвие 19х61 мм трапеция 10 шт INGCO HUKB61001 (10/200)</t>
  </si>
  <si>
    <t>WMK1K61</t>
  </si>
  <si>
    <t>Лезвие 19х61 мм трапеция 10 шт WADFOW WMK1K61</t>
  </si>
  <si>
    <t>WMK1K25</t>
  </si>
  <si>
    <t>Лезвие 25 мм сегментированное 10 шт WADFOW WMK1K25</t>
  </si>
  <si>
    <t>HKNSB2501</t>
  </si>
  <si>
    <t>Лезвие 25 мм сегментированные 10 шт INGCO HKNSB2501</t>
  </si>
  <si>
    <t>HUK180225</t>
  </si>
  <si>
    <t>Набор ножей 18мм +19мм INGCO HUK180225 (72)*</t>
  </si>
  <si>
    <t>WSK2204</t>
  </si>
  <si>
    <t>Набор ножей 18мм +9мм + 2 набора лезвий WADFOW WSK2204</t>
  </si>
  <si>
    <t>WSK2902</t>
  </si>
  <si>
    <t>Нож канцелярский  9 мм сегментированным лезвием WADFOW WSK2902</t>
  </si>
  <si>
    <t>WSK1509</t>
  </si>
  <si>
    <t>Нож канцелярский  9 мм сегментированным лезвием корпус металл WADFOW WSK1509</t>
  </si>
  <si>
    <t>HKNS1808</t>
  </si>
  <si>
    <t>Нож канцелярский 18 мм сегментированным лезвием INGCO 6 лезвий компл HKNS1808 (48)*</t>
  </si>
  <si>
    <t>HKNS11807</t>
  </si>
  <si>
    <t>Нож канцелярский 18 мм сегментированным лезвием INGCO HKNS11807 (144)</t>
  </si>
  <si>
    <t>HKNS11815</t>
  </si>
  <si>
    <t>Нож канцелярский 18 мм сегментированным лезвием INGCO HKNS11815 (144)</t>
  </si>
  <si>
    <t>HKNS16618</t>
  </si>
  <si>
    <t>Нож канцелярский 18 мм сегментированным лезвием INGCO HKNS16618 (96)</t>
  </si>
  <si>
    <t>HKNS28035</t>
  </si>
  <si>
    <t>Нож канцелярский 18 мм сегментированным лезвием INGCO HKNS28035, 3 лезвия, автомат (96)</t>
  </si>
  <si>
    <t>WSK2913</t>
  </si>
  <si>
    <t>Нож канцелярский 18 мм сегментированным лезвием WADFOW WSK2913</t>
  </si>
  <si>
    <t>WSK3913</t>
  </si>
  <si>
    <t>Нож канцелярский 18 мм сегментированным лезвием WADFOW WSK3913</t>
  </si>
  <si>
    <t>WSK8618</t>
  </si>
  <si>
    <t>Нож канцелярский 18 мм сегментированным лезвием WADFOW WSK8618</t>
  </si>
  <si>
    <t>WSX8611</t>
  </si>
  <si>
    <t>Нож монтажника 180 мм WADFOW WSX8611</t>
  </si>
  <si>
    <t>WCSK3601</t>
  </si>
  <si>
    <t>Нож складной  WADFOW WCSK3601 210 мм</t>
  </si>
  <si>
    <t>WCSK3602</t>
  </si>
  <si>
    <t>Нож складной WADFOW WCSK3602 210 мм</t>
  </si>
  <si>
    <t>HRSUK19</t>
  </si>
  <si>
    <t>Нож универсальный 19 мм трапециевидное лезвие INGCO HRSUK19 (72)</t>
  </si>
  <si>
    <t>WRSUK19</t>
  </si>
  <si>
    <t>Нож универсальный 19 мм трапециевидное лезвие WADFOW WRSUK19</t>
  </si>
  <si>
    <t>HUK6236</t>
  </si>
  <si>
    <t>Нож универсальный 19 мм трапециевидное лезвие складной INGCO HUK6236 (72)</t>
  </si>
  <si>
    <t>WSK9419</t>
  </si>
  <si>
    <t>Нож универсальный 19 мм трапециевидное лезвие складной WADFOW WSK9419</t>
  </si>
  <si>
    <t>HKNS11615</t>
  </si>
  <si>
    <t>Нож универсальный 19мм трапециевидное лезвие INGCO HKNS11615 (72)</t>
  </si>
  <si>
    <t>Паяльное оборудование</t>
  </si>
  <si>
    <t>Паяльники</t>
  </si>
  <si>
    <t>SI016911</t>
  </si>
  <si>
    <t>Паяльная станция 60 Вт INGCO SI016911</t>
  </si>
  <si>
    <t>SI0268</t>
  </si>
  <si>
    <t>Паяльник  60Вт INGCO SI0268 INDUSTRIAL (50)</t>
  </si>
  <si>
    <t>SI00108</t>
  </si>
  <si>
    <t>Паяльник 100Вт INGCO SI00108 INDUSTRIAL (50)</t>
  </si>
  <si>
    <t>Пистолеты для герметиков, монтажной пены</t>
  </si>
  <si>
    <t>CCGLI2001</t>
  </si>
  <si>
    <t>Аккумуляторный пистолет для герметика 20В INGCO CCGLI2001 без АКБ и З/У  INDUSTRIAL</t>
  </si>
  <si>
    <t>WCG1309</t>
  </si>
  <si>
    <t>Пистолет для герметика 230 мм WADFOW WCG1309</t>
  </si>
  <si>
    <t>WCG3109</t>
  </si>
  <si>
    <t>Пистолет для герметика 230 мм WADFOW WCG3109</t>
  </si>
  <si>
    <t>HCG0909</t>
  </si>
  <si>
    <t>Пистолет для герметика полукорпусной INGCO HCG0909 (24)</t>
  </si>
  <si>
    <t>HCG1409</t>
  </si>
  <si>
    <t>Пистолет для герметика скелетный INGCO HCG1409  (24)</t>
  </si>
  <si>
    <t>HCG1709</t>
  </si>
  <si>
    <t>Пистолет для герметика скелетный INGCO HCG1709  (24)</t>
  </si>
  <si>
    <t>Пистолеты клеевые, стержни</t>
  </si>
  <si>
    <t>GG308</t>
  </si>
  <si>
    <t>Пистолет клеевой 11мм 220Вт  INGCO GG308 INDUSTRIAL (24)</t>
  </si>
  <si>
    <t>Сверлильный инструмент</t>
  </si>
  <si>
    <t>Наборы универсальные</t>
  </si>
  <si>
    <t>AKD6058</t>
  </si>
  <si>
    <t>Набор сверел многофункциональные 5 шт (4.5.6.8.10) INGCO AKD6058 (24)</t>
  </si>
  <si>
    <t>AKDL61401</t>
  </si>
  <si>
    <t>Набор сверл 14 шт INGCO AKDL61401 INDUSTRIAL</t>
  </si>
  <si>
    <t>AKDL11606</t>
  </si>
  <si>
    <t>Набор сверл 16 шт INGCO AKDL11606/11608</t>
  </si>
  <si>
    <t>AKSDB1901</t>
  </si>
  <si>
    <t>Набор сверл и бит 19 шт. INGCO AKSDB1901 (40)</t>
  </si>
  <si>
    <t>AKDL12201</t>
  </si>
  <si>
    <t>Набор сверл и бит 22 шт. INGCO AKDL12201  (40)</t>
  </si>
  <si>
    <t>WSV6545</t>
  </si>
  <si>
    <t>Набор сверл и ударных бит 45 шт WADFOW WSV6545</t>
  </si>
  <si>
    <t>По бетону</t>
  </si>
  <si>
    <t>Буры</t>
  </si>
  <si>
    <t>DBH1211803C</t>
  </si>
  <si>
    <t>Бур 18*310 SDS+ INGCO DBH1211803C*</t>
  </si>
  <si>
    <t>DBH1212003C</t>
  </si>
  <si>
    <t>Бур 20*310 SDS+ INGCO DBH1212003C*</t>
  </si>
  <si>
    <t>DBH1212004</t>
  </si>
  <si>
    <t>Бур 20*450 SDS+ INGCO DBH1212004*</t>
  </si>
  <si>
    <t>DBH1212402</t>
  </si>
  <si>
    <t>Бур 24*310 SDS+ INGCO DBH1212402*</t>
  </si>
  <si>
    <t>Зубила, пики, лопатки</t>
  </si>
  <si>
    <t>DBC0512801</t>
  </si>
  <si>
    <t>Зубило пика HEX 17*22*280,  INGCO DBC0512801 (50)</t>
  </si>
  <si>
    <t>DBC0415301</t>
  </si>
  <si>
    <t>Зубило пика HEX 28*530,  INGCO DBC0415301 (50)</t>
  </si>
  <si>
    <t>DBC04352011</t>
  </si>
  <si>
    <t>Зубило пикообразное HEX 28х520 мм INGCO DBC04352011 INDUSTRIAL</t>
  </si>
  <si>
    <t>DBC0212801</t>
  </si>
  <si>
    <t>Зубило пикообразное SDS Max 18x300 мм INGCO DBC0212801</t>
  </si>
  <si>
    <t>DBC0224001</t>
  </si>
  <si>
    <t>Зубило плоское SDS Max 18x400x25 мм INGCO DBC0224001</t>
  </si>
  <si>
    <t>Наборы</t>
  </si>
  <si>
    <t>AKDL11806</t>
  </si>
  <si>
    <t>Набор буров SDS-plus 8 шт INGCO AKDL11806 INDUSTRIAL</t>
  </si>
  <si>
    <t>AKDL30906</t>
  </si>
  <si>
    <t>Набор буров SDS-plus 9 шт INGCO AKDL30906 INDUSTRIAL</t>
  </si>
  <si>
    <t>AKDB2055</t>
  </si>
  <si>
    <t>Набор буров по бетону 4 шт.(6.6.8.10) SDS+  INGCO (80) AKDB2055</t>
  </si>
  <si>
    <t>AKDL31101</t>
  </si>
  <si>
    <t>Набор сверл и буров по бетону 11 шт (3,4,5,6,8,10/5,6,8,10,12) INGCO AKDL31101 INDUSTRIAL (12)</t>
  </si>
  <si>
    <t>По дереву</t>
  </si>
  <si>
    <t>WWF6512</t>
  </si>
  <si>
    <t>Набор перовых сверл 12 шт WADFOW WWF6512</t>
  </si>
  <si>
    <t>AKDL1201</t>
  </si>
  <si>
    <t>Набор сверл перовых по дереву 12 шт (6мм-32мм) INGCO AKDL1201</t>
  </si>
  <si>
    <t>AKDB5055</t>
  </si>
  <si>
    <t>Набор сверл по дереву 5 шт (3.4.5.6.8)  INGCO AKDB5055  (80)</t>
  </si>
  <si>
    <t>Форстнера</t>
  </si>
  <si>
    <t>ADCS3201</t>
  </si>
  <si>
    <t>Сверло Форстнера по дереву 32мм INGCO ADCS3201*</t>
  </si>
  <si>
    <t>По кафелю, стеклу</t>
  </si>
  <si>
    <t>Сверла</t>
  </si>
  <si>
    <t>DBG1130501</t>
  </si>
  <si>
    <t>Сверло по кафелю стеклу  5 мм 4 грани INGCO DBG1130501 INDUSTRIAL</t>
  </si>
  <si>
    <t>По металлу</t>
  </si>
  <si>
    <t>WAJ1L01</t>
  </si>
  <si>
    <t>Набор метчиков и плашек 12 шт WADFOW WAJ1L01</t>
  </si>
  <si>
    <t>WAJ1L02</t>
  </si>
  <si>
    <t>Набор метчиков и плашек 20 шт WADFOW WAJ1L02</t>
  </si>
  <si>
    <t>AKD1055</t>
  </si>
  <si>
    <t>Набор сверел по металлу  6 шт. (2.3.4.5.6.8) INGCO AKD1055 (24)</t>
  </si>
  <si>
    <t>AKDL51508</t>
  </si>
  <si>
    <t>Набор сверел по металлу 15шт. (1,2,2.5,3,3.5,4,4.5,5,5.5,6,7,8,9,10,12mm) M2 INGCO AKDL51508 (12)</t>
  </si>
  <si>
    <t>AKSDS2061</t>
  </si>
  <si>
    <t>Набор сверел ступенчатых 6 шт INGCO AKSDS2061 INDUSTRIAL</t>
  </si>
  <si>
    <t>WCQ13B01</t>
  </si>
  <si>
    <t>Набор экстракторов для болтов 5 шт WADFOW WCQ13B01</t>
  </si>
  <si>
    <t>ASE106</t>
  </si>
  <si>
    <t>Набор экстракторов для шурупов INGCO ASE106</t>
  </si>
  <si>
    <t>DBT1110501</t>
  </si>
  <si>
    <t>Сверло по металлу  5,0x86х52мм, М2 HSS INGCO DBT1110501 INDUSTRIAL*</t>
  </si>
  <si>
    <t>DBT1111301</t>
  </si>
  <si>
    <t>Сверло по металлу 13,0x151х101мм, М2 HSS INGCO DBT1111301 INDUSTRIAL</t>
  </si>
  <si>
    <t>Ступенчатые сверла</t>
  </si>
  <si>
    <t>AKSDS10453</t>
  </si>
  <si>
    <t>Сверло ступенчатое 10-45 мм INGCO AKSDS10453 INDUSTRIAL</t>
  </si>
  <si>
    <t>AKSDS42203</t>
  </si>
  <si>
    <t>Сверло ступенчатое 4-22 мм INGCO AKSDS42203 INDUSTRIAL</t>
  </si>
  <si>
    <t>Серпянки, скотч, малярные</t>
  </si>
  <si>
    <t>Скотч двухсторонний</t>
  </si>
  <si>
    <t>WPN2H10</t>
  </si>
  <si>
    <t>Герметизирующая лента 1.5 м х 10 смWADFOW WPN2H10</t>
  </si>
  <si>
    <t>WPN8K19</t>
  </si>
  <si>
    <t>Скотч двухсторонний 19мм*1м WADFOW WPN8K19</t>
  </si>
  <si>
    <t>WPN9K19</t>
  </si>
  <si>
    <t>Скотч двухсторонний 19мм*2м WADFOW WPN9K19</t>
  </si>
  <si>
    <t>WPN9K24</t>
  </si>
  <si>
    <t>Скотч двухсторонний 24мм*2м WADFOW WPN9K24</t>
  </si>
  <si>
    <t>WPN8K25</t>
  </si>
  <si>
    <t>Скотч двухсторонний 25мм*1м WADFOW WPN8K25</t>
  </si>
  <si>
    <t>Степлеры мебельные, скобы</t>
  </si>
  <si>
    <t>STS6110</t>
  </si>
  <si>
    <t>Гвозди для степлера 10х2х1.2 мм 5000 шт INGCO STS6110</t>
  </si>
  <si>
    <t>WQD1665</t>
  </si>
  <si>
    <t>Скобоудалитель WADFOW WQD1665</t>
  </si>
  <si>
    <t>STS0108</t>
  </si>
  <si>
    <t>Скобы  8*0,7 мм для мебел. степлера тип53 INGCO STS0108 (1000)</t>
  </si>
  <si>
    <t>STS0208</t>
  </si>
  <si>
    <t>Скобы  8*1,2 мм для мебельного степлера тип53 INGCO STS0208 (1000)</t>
  </si>
  <si>
    <t>STS0110</t>
  </si>
  <si>
    <t>Скобы 10*0,7 мм для мебельного степлера тип53 INGCO STS0110 (1000)</t>
  </si>
  <si>
    <t>STS0210</t>
  </si>
  <si>
    <t>Скобы 10*1,2 мм для мебельного степлера тип53 INGCO STS0210 (1000шт)</t>
  </si>
  <si>
    <t>STS0112</t>
  </si>
  <si>
    <t>Скобы 12*0,7 мм для мебельного степлера тип 53 INGCO STS0112 (1000)</t>
  </si>
  <si>
    <t>STS0212</t>
  </si>
  <si>
    <t>Скобы 12*1,2 мм для мебельного степлера тип 53 INGCO STS0212 (1000)</t>
  </si>
  <si>
    <t>STS0412</t>
  </si>
  <si>
    <t>Скобы 12*6.3*1.2 мм для мебельного степлера 1000 шт INGCO STS0412</t>
  </si>
  <si>
    <t>WGU1608</t>
  </si>
  <si>
    <t>Степлер мебельный  тип 53 металл 4-8 мм WADFOW WGU1608</t>
  </si>
  <si>
    <t>HSG14018</t>
  </si>
  <si>
    <t>Степлер мебельный  тип 53 металл, 4-14 мм  INGCO HSG14018 (20)</t>
  </si>
  <si>
    <t>HSG1406</t>
  </si>
  <si>
    <t>Степлер мебельный  тип 53,  2 в 1 INGCO HSG1406 (20)</t>
  </si>
  <si>
    <t>HSG1405</t>
  </si>
  <si>
    <t>Степлер мебельный  тип 53, 55, 300, металл, 3 в 1 4-14, 10-12мм INGCO HSG1405 (20)</t>
  </si>
  <si>
    <t>WGU3614</t>
  </si>
  <si>
    <t>Степлер мебельный  тип 53, метал, 4-14 мм WADFOW WGU3614</t>
  </si>
  <si>
    <t>HSG1408</t>
  </si>
  <si>
    <t>Степлер мебельный тип 53 2 в 1 INGCO HSG1408 INDUSTRIAL</t>
  </si>
  <si>
    <t>Столярно-слесарный инструмент</t>
  </si>
  <si>
    <t>Адаптеры</t>
  </si>
  <si>
    <t>ABH10601</t>
  </si>
  <si>
    <t>Держатель для бит магнитный INGCO ABH10601 уп 2шт</t>
  </si>
  <si>
    <t>Биты</t>
  </si>
  <si>
    <t>WSV1K11</t>
  </si>
  <si>
    <t>Бита PH1  25 мм WADFOW WSV1K11</t>
  </si>
  <si>
    <t>SDBIM71PH125</t>
  </si>
  <si>
    <t>Бита PH1  25 мм ударная  2 шт INGCO SDBIM71PH125 INDUSTRIAL</t>
  </si>
  <si>
    <t>WSV2K11</t>
  </si>
  <si>
    <t>Бита PH1  50 мм 2 шт WADFOW WSV2K11</t>
  </si>
  <si>
    <t>SDBIM71PH150</t>
  </si>
  <si>
    <t>Бита PH1  50мм, ударная, магнитная, 2 шт, INGCO SDBIM71PH150 INDUSTRIAL</t>
  </si>
  <si>
    <t>SDBIM71PH1100</t>
  </si>
  <si>
    <t>Бита PH1 100мм, ударная, магнитная, INGCO SDBIM71PH1100 INDUSTRIAL</t>
  </si>
  <si>
    <t>SDBIM11PH163</t>
  </si>
  <si>
    <t>Бита PH1 150мм, ударная, магнитная, 10 шт, INGCO SDBIM11PH163 INDUSTRIAL,</t>
  </si>
  <si>
    <t>SDBIM71PH1150</t>
  </si>
  <si>
    <t>Бита PH1 150мм, ударная, магнитная, INGCO SDBIM71PH1150 INDUSTRIAL</t>
  </si>
  <si>
    <t>SDBIM11PH183</t>
  </si>
  <si>
    <t>Бита PH1 200мм, ударная, 10 шт  INGCO SDBIM11PH183 INDUSTRIAL,</t>
  </si>
  <si>
    <t>SDBIM11PH1103</t>
  </si>
  <si>
    <t>Бита PH1 250мм, ударная, 10 шт  INGCO SDBIM11PH1103 INDUSTRIAL,</t>
  </si>
  <si>
    <t>WSV1K12</t>
  </si>
  <si>
    <t>Бита PH2  25 мм 2 шт  WADFOW WSV1K12</t>
  </si>
  <si>
    <t>SDBIM71PH225</t>
  </si>
  <si>
    <t>Бита PH2  25 мм ударная  2 шт INGCO SDBIM71PH225 INDUSTRIAL</t>
  </si>
  <si>
    <t>WSV5601</t>
  </si>
  <si>
    <t>Бита PH2  25мм с ограничителем 2 шт WADFOW WSV5601</t>
  </si>
  <si>
    <t>SDB91PH213</t>
  </si>
  <si>
    <t>Бита PH2  25мм с ограничителем 2 шт,  INGCO SDB91PH213</t>
  </si>
  <si>
    <t>WSV2K12</t>
  </si>
  <si>
    <t>Бита PH2  50 мм 2 шт WADFOW WSV2K12</t>
  </si>
  <si>
    <t>SDBIM71PH250</t>
  </si>
  <si>
    <t>Бита PH2  50 мм ударная  2 шт INGCO SDBIM71PH250 INDUSTRIAL</t>
  </si>
  <si>
    <t>WSV5602</t>
  </si>
  <si>
    <t>Бита PH2  50мм с ограничителем  2 шт WADFOW WSV5602</t>
  </si>
  <si>
    <t>SDBIM71PH2250</t>
  </si>
  <si>
    <t>Бита PH2 250мм ударная 1 шт INGCO SDBIM71PH2250 INDUSTRIAL</t>
  </si>
  <si>
    <t>SDBIM11PH2103</t>
  </si>
  <si>
    <t>Бита PH2 250мм ударная, 10 шт  INGCO SDBIM11PH2103 INDUSTRIAL,</t>
  </si>
  <si>
    <t>SDBIM72PH265</t>
  </si>
  <si>
    <t>Бита PH2*PH2  65мм 2 шт ударная INGCO SDBIM72PH265 INDUSTRIAL</t>
  </si>
  <si>
    <t>SDB21PH233</t>
  </si>
  <si>
    <t>Бита PH2*PH2, 65мм, 10 шт,  двухсторонняя INGCO SDB21PH233 INDUSTRIAL (10)</t>
  </si>
  <si>
    <t>WSV0K12</t>
  </si>
  <si>
    <t>Бита PH2+PH2  65 мм 2 шт  WADFOW WSV0K12</t>
  </si>
  <si>
    <t>WSV1K13</t>
  </si>
  <si>
    <t>Бита PH3 25 мм  2 шт WADFOW WSV1K13</t>
  </si>
  <si>
    <t>WSV2K13</t>
  </si>
  <si>
    <t>Бита PH3 50 мм 2 шт WADFOW WSV2K13</t>
  </si>
  <si>
    <t>SDBIM71PH350</t>
  </si>
  <si>
    <t>Бита PH3 50мм ударная 2 шт INGCO SDBIM71PH350 INDUSTRIAL</t>
  </si>
  <si>
    <t>WSV1K31</t>
  </si>
  <si>
    <t>Бита PZ1 25 мм 2 штWADFOW WSV1K31</t>
  </si>
  <si>
    <t>WSV2K31</t>
  </si>
  <si>
    <t>Бита PZ1 50 мм 2 шт  WADFOW WSV2K31</t>
  </si>
  <si>
    <t>WSV1K32</t>
  </si>
  <si>
    <t>Бита PZ2 25 мм 2 шт  WADFOW WSV1K32</t>
  </si>
  <si>
    <t>WSV0K21</t>
  </si>
  <si>
    <t>Бита PZ2+SL6 65 мм 2 шт WADFOW WSV0K21</t>
  </si>
  <si>
    <t>WSV1K33</t>
  </si>
  <si>
    <t>Бита PZ3 25 мм 2 шт WADFOW WSV1K33</t>
  </si>
  <si>
    <t>WSV2K33</t>
  </si>
  <si>
    <t>Бита PZ3 50 мм 2 шт WADFOW WSV2K33</t>
  </si>
  <si>
    <t>SDBIM11T2563</t>
  </si>
  <si>
    <t>Бита TORX T-25 150 мм ударная 10 шт  INGCO SDBIM11T2563 INDUSTRIAL,</t>
  </si>
  <si>
    <t>WWR1K08</t>
  </si>
  <si>
    <t>Бита ключ насадка магнитная  8 мм 3 шт WADFOW WWR1K08</t>
  </si>
  <si>
    <t>WWR1K10</t>
  </si>
  <si>
    <t>Бита ключ насадка магнитная 10 мм 3 шт WADFOW WWR1K10</t>
  </si>
  <si>
    <t>AMN1031</t>
  </si>
  <si>
    <t>Бита ключ насадка магнитная 10*65мм 1/4" 3 шт INGCO AMN1031</t>
  </si>
  <si>
    <t>WWR1K12</t>
  </si>
  <si>
    <t>Бита ключ насадка магнитная 12 мм 3 шт WADFOW WWR1K12</t>
  </si>
  <si>
    <t>AMN1231</t>
  </si>
  <si>
    <t>Бита ключ насадка магнитная 12*65 мм 1/4" 3шт INGCO AMN1231</t>
  </si>
  <si>
    <t>AMN1331</t>
  </si>
  <si>
    <t>Бита ключ насадка магнитная 13 мм 1/4" 3шт INGCO AMN1331</t>
  </si>
  <si>
    <t>WWR1K13</t>
  </si>
  <si>
    <t>Бита ключ насадка магнитная 13 мм 3 шт WADFOW WWR1K13</t>
  </si>
  <si>
    <t>WSV2K01</t>
  </si>
  <si>
    <t>Держатель для бит 2 шт WADFOW WSV2K01</t>
  </si>
  <si>
    <t>WSV3K01</t>
  </si>
  <si>
    <t>Держатель для бит 2 шт WADFOW WSV3K01</t>
  </si>
  <si>
    <t>WSV2K05</t>
  </si>
  <si>
    <t>Держатель для бит магнитный 125 мм WADFOW WSV2K05</t>
  </si>
  <si>
    <t>ABH30801</t>
  </si>
  <si>
    <t>Держатель для бит магнитный INGCO ABH30801</t>
  </si>
  <si>
    <t>ABH50608</t>
  </si>
  <si>
    <t>Держатель для бит магнитный с ограничителем 60 мм INGCO ABH50608</t>
  </si>
  <si>
    <t>ABH20601</t>
  </si>
  <si>
    <t>Держатель для бит с фиксатором 60 мм INGCO ABH20601 уп 2шт</t>
  </si>
  <si>
    <t>ABH40606</t>
  </si>
  <si>
    <t>Держатель для бит с фиксатором 60 мм INGCO ABH40606</t>
  </si>
  <si>
    <t>AKSD68303</t>
  </si>
  <si>
    <t>Набор бит с держателем 30 предметов INGCO AKSD68303 INDUSTRIAL</t>
  </si>
  <si>
    <t>AKDL25106</t>
  </si>
  <si>
    <t>Набор ударных бит 51 шт INGCO AKDL25106 INDUSTRIAL,</t>
  </si>
  <si>
    <t>WBS2602</t>
  </si>
  <si>
    <t>Набор ударных бит PH2 с держателем 12 шт WADFOW WBS2602</t>
  </si>
  <si>
    <t>Бокорезы, кусачки</t>
  </si>
  <si>
    <t>WPL3C06</t>
  </si>
  <si>
    <t>Бокорезы  160 мм WADFOW WPL3C06</t>
  </si>
  <si>
    <t>HHLDCP28160</t>
  </si>
  <si>
    <t>Бокорезы  160мм INGCO (6) HHLDCP28160</t>
  </si>
  <si>
    <t>HDCP08168</t>
  </si>
  <si>
    <t>Бокорезы  160мм INGCO диагональные (6) HDCP08168</t>
  </si>
  <si>
    <t>HIHLDCP28160</t>
  </si>
  <si>
    <t>Бокорезы  160мм диэлектрические HIHLDCP28160 INDUSTRIAL</t>
  </si>
  <si>
    <t>WPL3717</t>
  </si>
  <si>
    <t>Бокорезы  180 мм WADFOW WPL3717</t>
  </si>
  <si>
    <t>WPL3C07</t>
  </si>
  <si>
    <t>Бокорезы  180 мм WADFOW WPL3C07</t>
  </si>
  <si>
    <t>HDCP08188</t>
  </si>
  <si>
    <t>Бокорезы  180мм INGCO диагональные (6) HDCP08188</t>
  </si>
  <si>
    <t>HHLDCP28180</t>
  </si>
  <si>
    <t>Бокорезы  180мм INGCO усиленные (6) HHLDCP28180</t>
  </si>
  <si>
    <t>HCDCP58230</t>
  </si>
  <si>
    <t>Бокорезы  230 мм усиленные INGCO HCDCP58230 INDUSTRIAL</t>
  </si>
  <si>
    <t>Болторезы</t>
  </si>
  <si>
    <t>HBC0848</t>
  </si>
  <si>
    <t>Болторез 1200 мм INGCO HBC0848</t>
  </si>
  <si>
    <t>Гвоздодеры</t>
  </si>
  <si>
    <t>HWBA01142</t>
  </si>
  <si>
    <t>Лом-гвоздодер  350 мм INGCO HWBA01142 INDUSTRIAL</t>
  </si>
  <si>
    <t>WQB1345</t>
  </si>
  <si>
    <t>Лом-гвоздодер  450 мм WADFOW WQB1345</t>
  </si>
  <si>
    <t>HWBA01242</t>
  </si>
  <si>
    <t>Лом-гвоздодер  600 мм INGCO HWBA01242 INDUSTRIAL</t>
  </si>
  <si>
    <t>WQB1360</t>
  </si>
  <si>
    <t>Лом-гвоздодер  600 мм WADFOW WQB1360</t>
  </si>
  <si>
    <t>WQB1375</t>
  </si>
  <si>
    <t>Лом-гвоздодер  750 мм WADFOW WQB1375</t>
  </si>
  <si>
    <t>WQB1390</t>
  </si>
  <si>
    <t>Лом-гвоздодер  900 мм WADFOW WQB1390</t>
  </si>
  <si>
    <t>HWBA01362</t>
  </si>
  <si>
    <t>Лом-гвоздодер  900мм INGCO HWBA01362  (20)</t>
  </si>
  <si>
    <t>HWBA01482</t>
  </si>
  <si>
    <t>Лом-гвоздодер 1200 мм INGCO HWBA01482 INDUSTRIAL</t>
  </si>
  <si>
    <t>Головки, воротки</t>
  </si>
  <si>
    <t>HRTH08128L</t>
  </si>
  <si>
    <t>Вороток (трещотка) 1/2 телескопический, 310-450мм  INGCO HRTH0812  INDUSTRIAL</t>
  </si>
  <si>
    <t>HRTH081438</t>
  </si>
  <si>
    <t>Вороток (трещотка) 1/4"х3/8" INGCO HRTH081438 INDUSTRIAL</t>
  </si>
  <si>
    <t>HRTH0838</t>
  </si>
  <si>
    <t>Вороток (трещотка) 3/8  INGCO HRTH0838  INDUSTRIAL</t>
  </si>
  <si>
    <t>WRW4212</t>
  </si>
  <si>
    <t>Вороток (трещотка) шарнирный 1/2" 300 мм WADFOW WRW4212</t>
  </si>
  <si>
    <t>HSTB12101</t>
  </si>
  <si>
    <t>Вороток Т-образный 1/2", 250 мм INGCO HSTB12101 INDUSTRIAL</t>
  </si>
  <si>
    <t>HFXH012151</t>
  </si>
  <si>
    <t>Вороток шарнирный 1/2", 375 мм INGCO HFXH012151 INDUSTRIAL</t>
  </si>
  <si>
    <t>HHAST12081</t>
  </si>
  <si>
    <t>Головка 6-гранная 1/2"  8 мм INGCO HHAST12081 INDUSTRIAL</t>
  </si>
  <si>
    <t>HHAST12091</t>
  </si>
  <si>
    <t>Головка 6-гранная 1/2"  9 мм INGCO HHAST12091 INDUSTRIAL</t>
  </si>
  <si>
    <t>HHAST12101</t>
  </si>
  <si>
    <t>Головка 6-гранная 1/2" 10 мм INGCO HHAST12101 INDUSTRIAL</t>
  </si>
  <si>
    <t>HHAST12111</t>
  </si>
  <si>
    <t>Головка 6-гранная 1/2" 11 мм INGCO HHAST12111 INDUSTRIAL</t>
  </si>
  <si>
    <t>HHAST12121</t>
  </si>
  <si>
    <t>Головка 6-гранная 1/2" 12 мм INGCO HHAST12121 INDUSTRIAL</t>
  </si>
  <si>
    <t>HHAST12131</t>
  </si>
  <si>
    <t>Головка 6-гранная 1/2" 13 мм INGCO HHAST12131 INDUSTRIAL</t>
  </si>
  <si>
    <t>HHAST12151</t>
  </si>
  <si>
    <t>Головка 6-гранная 1/2" 15 мм INGCO HHAST12151 INDUSTRIAL</t>
  </si>
  <si>
    <t>HHAST12161</t>
  </si>
  <si>
    <t>Головка 6-гранная 1/2" 16 мм INGCO HHAST12161 INDUSTRIAL</t>
  </si>
  <si>
    <t>HHAST12171</t>
  </si>
  <si>
    <t>Головка 6-гранная 1/2" 17 мм INGCO HHAST12171 INDUSTRIAL</t>
  </si>
  <si>
    <t>HHAST12181</t>
  </si>
  <si>
    <t>Головка 6-гранная 1/2" 18 мм INGCO HHAST12181 INDUSTRIAL</t>
  </si>
  <si>
    <t>HHAST12191</t>
  </si>
  <si>
    <t>Головка 6-гранная 1/2" 19 мм INGCO HHAST12191 INDUSTRIAL</t>
  </si>
  <si>
    <t>HHAST12201</t>
  </si>
  <si>
    <t>Головка 6-гранная 1/2" 20 мм INGCO HHAST12201 INDUSTRIAL</t>
  </si>
  <si>
    <t>HHAST12211</t>
  </si>
  <si>
    <t>Головка 6-гранная 1/2" 21 мм INGCO HHAST12211 INDUSTRIAL</t>
  </si>
  <si>
    <t>HHAST12221</t>
  </si>
  <si>
    <t>Головка 6-гранная 1/2" 22 мм INGCO HHAST12221 INDUSTRIAL</t>
  </si>
  <si>
    <t>HHAST12231</t>
  </si>
  <si>
    <t>Головка 6-гранная 1/2" 23 мм INGCO HHAST12231 INDUSTRIAL</t>
  </si>
  <si>
    <t>HHAST12241</t>
  </si>
  <si>
    <t>Головка 6-гранная 1/2" 24 мм INGCO HHAST12241 INDUSTRIAL</t>
  </si>
  <si>
    <t>HHAST12251</t>
  </si>
  <si>
    <t>Головка 6-гранная 1/2" 25 мм INGCO HHAST12251 INDUSTRIAL</t>
  </si>
  <si>
    <t>HHAST12261</t>
  </si>
  <si>
    <t>Головка 6-гранная 1/2" 26 мм INGCO HHAST12261 INDUSTRIAL</t>
  </si>
  <si>
    <t>HHAST12271</t>
  </si>
  <si>
    <t>Головка 6-гранная 1/2" 27 мм INGCO HHAST12271 INDUSTRIAL</t>
  </si>
  <si>
    <t>HHAST12281</t>
  </si>
  <si>
    <t>Головка 6-гранная 1/2" 28 мм INGCO HHAST12281 INDUSTRIAL</t>
  </si>
  <si>
    <t>HHAST12291</t>
  </si>
  <si>
    <t>Головка 6-гранная 1/2" 29 мм INGCO HHAST12291 INDUSTRIAL</t>
  </si>
  <si>
    <t>HHAST12301</t>
  </si>
  <si>
    <t>Головка 6-гранная 1/2" 30 мм INGCO HHAST12301 INDUSTRIAL</t>
  </si>
  <si>
    <t>HHAST12321</t>
  </si>
  <si>
    <t>Головка 6-гранная 1/2" 32 мм INGCO HHAST12321 INDUSTRIAL</t>
  </si>
  <si>
    <t>HDIS12101L</t>
  </si>
  <si>
    <t>Головка 6-гранная ударная  1/2" 10 мм торцевая удлиненная INGCO HDIS12101L</t>
  </si>
  <si>
    <t>HDIS12151L</t>
  </si>
  <si>
    <t>Головка 6-гранная ударная 1/2" 15 мм торцевая удлиненная INGCO HDIS12151L</t>
  </si>
  <si>
    <t>HDIS12161L</t>
  </si>
  <si>
    <t>Головка 6-гранная ударная 1/2" 16 мм торцевая удлиненная INGCO HDIS12161L</t>
  </si>
  <si>
    <t>HDIS12221L</t>
  </si>
  <si>
    <t>Головка 6-гранная ударная 1/2" 22 мм торцевая удлиненная INGCO HDIS12221L</t>
  </si>
  <si>
    <t>HDIS12271L</t>
  </si>
  <si>
    <t>Головка 6-гранная ударная 1/2" 27 мм торцевая удлиненная INGCO HDIS12271L</t>
  </si>
  <si>
    <t>HHAST12083L</t>
  </si>
  <si>
    <t>Головка 6-гранная удлиненная 1/2"  8 мм INGCO HHAST12083L INDUSTRIAL</t>
  </si>
  <si>
    <t>HHAST12093L</t>
  </si>
  <si>
    <t>Головка 6-гранная удлиненная 1/2"  9 мм INGCO HHAST12093L INDUSTRIAL</t>
  </si>
  <si>
    <t>HHAST12103L</t>
  </si>
  <si>
    <t>Головка 6-гранная удлиненная 1/2" 10 мм INGCO HHAST12103L INDUSTRIAL</t>
  </si>
  <si>
    <t>HHAST12113L</t>
  </si>
  <si>
    <t>Головка 6-гранная удлиненная 1/2" 11 мм INGCO HHAST12113L INDUSTRIAL</t>
  </si>
  <si>
    <t>HHAST12123L</t>
  </si>
  <si>
    <t>Головка 6-гранная удлиненная 1/2" 12 мм INGCO HHAST12123L INDUSTRIAL</t>
  </si>
  <si>
    <t>HHAST12133L</t>
  </si>
  <si>
    <t>Головка 6-гранная удлиненная 1/2" 13 мм INGCO HHAST12133L INDUSTRIAL</t>
  </si>
  <si>
    <t>HHAST12143L</t>
  </si>
  <si>
    <t>Головка 6-гранная удлиненная 1/2" 14 мм INGCO HHAST12143L INDUSTRIAL</t>
  </si>
  <si>
    <t>HHAST12153L</t>
  </si>
  <si>
    <t>Головка 6-гранная удлиненная 1/2" 15 мм INGCO HHAST12153L INDUSTRIAL</t>
  </si>
  <si>
    <t>HHAST12163L</t>
  </si>
  <si>
    <t>Головка 6-гранная удлиненная 1/2" 16 мм INGCO HHAST12163L INDUSTRIAL</t>
  </si>
  <si>
    <t>HHAST12173L</t>
  </si>
  <si>
    <t>Головка 6-гранная удлиненная 1/2" 17 мм INGCO HHAST12173L INDUSTRIAL</t>
  </si>
  <si>
    <t>HHAST12183L</t>
  </si>
  <si>
    <t>Головка 6-гранная удлиненная 1/2" 18 мм INGCO HHAST12183L INDUSTRIAL</t>
  </si>
  <si>
    <t>HHAST12193L</t>
  </si>
  <si>
    <t>Головка 6-гранная удлиненная 1/2" 19 мм INGCO HHAST12193L INDUSTRIAL</t>
  </si>
  <si>
    <t>HHAST12203L</t>
  </si>
  <si>
    <t>Головка 6-гранная удлиненная 1/2" 20 мм INGCO HHAST12203L INDUSTRIAL</t>
  </si>
  <si>
    <t>HHAST12213L</t>
  </si>
  <si>
    <t>Головка 6-гранная удлиненная 1/2" 21 мм INGCO HHAST12213L INDUSTRIAL</t>
  </si>
  <si>
    <t>HHAST12223L</t>
  </si>
  <si>
    <t>Головка 6-гранная удлиненная 1/2" 22 мм INGCO HHAST12223L INDUSTRIAL</t>
  </si>
  <si>
    <t>HHAST12243L</t>
  </si>
  <si>
    <t>Головка 6-гранная удлиненная 1/2" 24 мм INGCO HHAST12243L INDUSTRIAL</t>
  </si>
  <si>
    <t>HHAST12263L</t>
  </si>
  <si>
    <t>Головка 6-гранная удлиненная 1/2" 26 мм INGCO HHAST12263L INDUSTRIAL</t>
  </si>
  <si>
    <t>HHAST12273L</t>
  </si>
  <si>
    <t>Головка 6-гранная удлиненная 1/2" 27 мм INGCO HHAST12273L INDUSTRIAL</t>
  </si>
  <si>
    <t>HHAST12283L</t>
  </si>
  <si>
    <t>Головка 6-гранная удлиненная 1/2" 28 мм INGCO HHAST12283L INDUSTRIAL</t>
  </si>
  <si>
    <t>HHAST12303L</t>
  </si>
  <si>
    <t>Головка 6-гранная удлиненная 1/2" 30 мм INGCO HHAST12303L INDUSTRIAL</t>
  </si>
  <si>
    <t>HHAST12323L</t>
  </si>
  <si>
    <t>Головка 6-гранная удлиненная 1/2"32 мм INGCO HHAST12323L INDUSTRIAL</t>
  </si>
  <si>
    <t>HHUJ1121</t>
  </si>
  <si>
    <t>Карданный шарнир 1/2" INGCO HHUJ1121</t>
  </si>
  <si>
    <t>HEB12051</t>
  </si>
  <si>
    <t>Удлинитель для воротка 1/2" 127 мм INGCO HEB12051 INDUSTRIAL</t>
  </si>
  <si>
    <t>HEB12101</t>
  </si>
  <si>
    <t>Удлинитель для воротка 1/2" 254 мм INGCO HEB12101 INDUSTRIAL</t>
  </si>
  <si>
    <t>Диски пильные</t>
  </si>
  <si>
    <t>TSB118511</t>
  </si>
  <si>
    <t>Диск пильный TCT 24Т 185 мм INGCO TSB118511 INDUSTRIAL</t>
  </si>
  <si>
    <t>TSB125425</t>
  </si>
  <si>
    <t>Диск пильный для настольной пилы по дереву 254*30*24,5*16, 40T INGCO TSB125425 (TS15008) INDUSTRIAL</t>
  </si>
  <si>
    <t>TSB121022</t>
  </si>
  <si>
    <t>Диск пильный для торцевочной пилы по дереву 210*24,5*16, 48T INGCO TSB121022 INDUSTRIAL</t>
  </si>
  <si>
    <t>TSB111555</t>
  </si>
  <si>
    <t>Диск пильный для УШМ по дереву 115*22*16, 48Т INGCO TSB111555 INDUSTRIAL (УШМ)</t>
  </si>
  <si>
    <t>TSB118515</t>
  </si>
  <si>
    <t>Диск пильный для циркулярных пил по дереву 185*20*16, 40T INGCO TSB118515 INDUSTRIAL</t>
  </si>
  <si>
    <t>TSB118513</t>
  </si>
  <si>
    <t>Диск пильный для циркулярных пил по дереву 185*20*16, 60T INGCO TSB118513 INDUSTRIAL</t>
  </si>
  <si>
    <t>TSB16503</t>
  </si>
  <si>
    <t>Набор пильных дисков по дереву 165 мм 3 шт 24T/40T/60T  INGCO TSB16503 INDUSTRIAL</t>
  </si>
  <si>
    <t>TSB1403</t>
  </si>
  <si>
    <t>Набор пильных дисков по дереву ультратонкие 140*20*1, 2 шт 24T INGCO TSB1403 INDUSTRIAL</t>
  </si>
  <si>
    <t>TSB4003</t>
  </si>
  <si>
    <t>Набор пильных дисков по дереву ультратонкие 140*20*1, 3 шт, 24Т, 30Т, 40Т,  INGCO TSB4003 INDUSTRIAL</t>
  </si>
  <si>
    <t>TSB1653</t>
  </si>
  <si>
    <t>Набор пильных дисков по дереву ультратонкие 165*20*1, 2 шт 24Т, TSB1653 INDUSTRIAL</t>
  </si>
  <si>
    <t>TSB1853</t>
  </si>
  <si>
    <t>Набор пильных дисков по дереву ультратонкие 185*20*1, 2 шт, 24T, INGCO TSB1853 INDUSTRIAL</t>
  </si>
  <si>
    <t>Длинногубцы</t>
  </si>
  <si>
    <t>HLNP08168</t>
  </si>
  <si>
    <t>Длинногубцы  160мм  INGCO HLNP08168</t>
  </si>
  <si>
    <t>HHLNP28160</t>
  </si>
  <si>
    <t>Длинногубцы  160мм INGCO HHLNP28160</t>
  </si>
  <si>
    <t>HLNP12160</t>
  </si>
  <si>
    <t>Длинногубцы  160мм INGCO HLNP12160</t>
  </si>
  <si>
    <t>WPL2C06</t>
  </si>
  <si>
    <t>Длинногубцы  160мм WADFOW WPL2C06</t>
  </si>
  <si>
    <t>HBNP08168</t>
  </si>
  <si>
    <t>Длинногубцы  160мм изогнутые INGCO HBNP08168  (6)</t>
  </si>
  <si>
    <t>HILNP28168</t>
  </si>
  <si>
    <t>Длинногубцы  160мм хром диэлектрические  INGCO HILNP28168  (36)</t>
  </si>
  <si>
    <t>HLNP08208</t>
  </si>
  <si>
    <t>Длинногубцы  200мм INGCO HLNP08208</t>
  </si>
  <si>
    <t>WPL2C08</t>
  </si>
  <si>
    <t>Длинногубцы  200мм WADFOW WPL2C08</t>
  </si>
  <si>
    <t>HILNP01200</t>
  </si>
  <si>
    <t>Длинногубцы  200мм диэлектрические  INGCO HILNP01200  (36)</t>
  </si>
  <si>
    <t>HMFLNP28200</t>
  </si>
  <si>
    <t>Длинногубцы  200мм многофункциональные 6 в 1  INGCO HMFLNP28200 INDUSTRIAL</t>
  </si>
  <si>
    <t>HCLNP58200</t>
  </si>
  <si>
    <t>Длинногубцы  215мм INGCO HCLNP58200 INDUSTRIAL</t>
  </si>
  <si>
    <t>WPL4C06</t>
  </si>
  <si>
    <t>Длинногубцы изогнутые 160 мм WADFOW WPL4C06</t>
  </si>
  <si>
    <t>HIBNP28208</t>
  </si>
  <si>
    <t>Длинногубцы изогнутые 200мм диэлектрические INGCO HIBNP28208 INDUSTRIAL</t>
  </si>
  <si>
    <t>HMNNP08115</t>
  </si>
  <si>
    <t>Длинногубцы мини 115 мм INGCO HMNNP08115</t>
  </si>
  <si>
    <t>HMBNP08115</t>
  </si>
  <si>
    <t>Длинногубцы мини 115 мм изогнутые INGCO HMBNP08115</t>
  </si>
  <si>
    <t>HCCPS26125</t>
  </si>
  <si>
    <t>Набор съемников стопорных колец 125 мм 4 предмета INGCO HCCPS26125 INDUSTRIAL</t>
  </si>
  <si>
    <t>HCCPS26180</t>
  </si>
  <si>
    <t>Набор съемников стопорных колец 180 мм 4 шт. INGCO HCCPS26180 INDUSTRIAL</t>
  </si>
  <si>
    <t>WPL9C71</t>
  </si>
  <si>
    <t>Съемник стопорных колец 180 мм WADFOW WPL9C71</t>
  </si>
  <si>
    <t>WPL9C72</t>
  </si>
  <si>
    <t>Съемник стопорных колец 180 мм WADFOW WPL9C72</t>
  </si>
  <si>
    <t>WPL9C73</t>
  </si>
  <si>
    <t>Съемник стопорных колец 180 мм WADFOW WPL9C73</t>
  </si>
  <si>
    <t>WPL9C74</t>
  </si>
  <si>
    <t>Съемник стопорных колец 180 мм WADFOW WPL9C74</t>
  </si>
  <si>
    <t>HCCP261802</t>
  </si>
  <si>
    <t>Съемник стопорных колец изогнутый 180 мм (внешние) INGCO HCCP261802</t>
  </si>
  <si>
    <t>HCCP261804</t>
  </si>
  <si>
    <t>Съемник стопорных колец изогнутый 180 мм (внутренние) INGCO HCCP261804</t>
  </si>
  <si>
    <t>HCCP261801</t>
  </si>
  <si>
    <t>Съемник стопорных колец прямые 180 мм (внешние) INGCO HCCP261801</t>
  </si>
  <si>
    <t>HCCP261803</t>
  </si>
  <si>
    <t>Съемник стопорных колец прямые 180 мм (внутренние) INGCO HCCP261803</t>
  </si>
  <si>
    <t>Заклёпочники</t>
  </si>
  <si>
    <t>HFOR321</t>
  </si>
  <si>
    <t>Зaклeпoчник рычажно-складной 815 мм INGCO HFOR321 INDUSTRIAL</t>
  </si>
  <si>
    <t>HR081</t>
  </si>
  <si>
    <t>Заклепочник 200 мм INGCO HR081</t>
  </si>
  <si>
    <t>WHR1609</t>
  </si>
  <si>
    <t>Заклепочник 240 мм WADFOW WHR1609</t>
  </si>
  <si>
    <t>WHR1909</t>
  </si>
  <si>
    <t>Заклепочник 240 мм с заклепками  WADFOW WHR1909</t>
  </si>
  <si>
    <t>HR105</t>
  </si>
  <si>
    <t>Заклепочник 260 мм INGCO HR105 INDUSTRIAL</t>
  </si>
  <si>
    <t>HRS108</t>
  </si>
  <si>
    <t>Заклепочник 260 мм INGCO HRS108</t>
  </si>
  <si>
    <t>SHHR106</t>
  </si>
  <si>
    <t>Заклепочник 260 мм INGCO поворотный 360°  SHHR106</t>
  </si>
  <si>
    <t>WHR5710</t>
  </si>
  <si>
    <t>Заклепочник 260 мм в наборе  WADFOW WHR5710</t>
  </si>
  <si>
    <t>WHR5B16</t>
  </si>
  <si>
    <t>Заклепочник для резьбовых заклепок M3-M12 WADFOW WHR5B16</t>
  </si>
  <si>
    <t>Зубило с протектором</t>
  </si>
  <si>
    <t>HCC0841218</t>
  </si>
  <si>
    <t>Зубило пикообразное с протектором 300х18х4 мм INGCO HCC0841218</t>
  </si>
  <si>
    <t>WCC1304</t>
  </si>
  <si>
    <t>Зубило с протектором 4х18х300 мм WADFOW WCC1304</t>
  </si>
  <si>
    <t>Киянки</t>
  </si>
  <si>
    <t>HRUH8808</t>
  </si>
  <si>
    <t>Киянка 220 гр резиновая черная фибергласовая ручка INGCO HRUH8808</t>
  </si>
  <si>
    <t>HRUH8916</t>
  </si>
  <si>
    <t>Киянка 450 гр резиновая белая фибергласовая ручка INGCO HRUH8916</t>
  </si>
  <si>
    <t>HRUH8816</t>
  </si>
  <si>
    <t>Киянка 450 гр резиновая черная фибергласовая ручка INGCO HRUH8816</t>
  </si>
  <si>
    <t>Клещи</t>
  </si>
  <si>
    <t>WPL7C18</t>
  </si>
  <si>
    <t>Клещи  универсальные 200 мм переставные WADFOW WPL7C18</t>
  </si>
  <si>
    <t>HPP28251</t>
  </si>
  <si>
    <t>Клещи  универсальные 250 мм переставные  INGCO HPP28251 INDUSTRIAL</t>
  </si>
  <si>
    <t>HPP28258</t>
  </si>
  <si>
    <t>Клещи  универсальные 250 мм переставные  INGCO HPP28258 INDUSTRIAL</t>
  </si>
  <si>
    <t>HPP68258</t>
  </si>
  <si>
    <t>Клещи  универсальные 250 мм переставные  INGCO HPP68258</t>
  </si>
  <si>
    <t>WPL7C10</t>
  </si>
  <si>
    <t>Клещи  универсальные 250 мм переставные WADFOW WPL7C10</t>
  </si>
  <si>
    <t>WPL7C12</t>
  </si>
  <si>
    <t>Клещи  универсальные 300 мм переставные WADFOW WPL7C12</t>
  </si>
  <si>
    <t>HWSP08168</t>
  </si>
  <si>
    <t>Клещи для снятия изоляции 160 мм INGCO HWSP08168</t>
  </si>
  <si>
    <t>WLP1C05</t>
  </si>
  <si>
    <t>Клещи зажимные 125 мм 0-25 мм WADFOW WLP1C05</t>
  </si>
  <si>
    <t>WLP3C06</t>
  </si>
  <si>
    <t>Клещи зажимные 150 мм WADFOW WLP3C06</t>
  </si>
  <si>
    <t>WLP1C07</t>
  </si>
  <si>
    <t>Клещи зажимные 180 мм 0-33 мм WADFOW WLP1C07</t>
  </si>
  <si>
    <t>HCJLW0207</t>
  </si>
  <si>
    <t>Клещи зажимные 180мм INGCO HCJLW0207</t>
  </si>
  <si>
    <t>WLP3C09</t>
  </si>
  <si>
    <t>Клещи зажимные 225 мм 0-67 мм WADFOW WLP3C09</t>
  </si>
  <si>
    <t>HLNP0209</t>
  </si>
  <si>
    <t>Клещи зажимные 228мм INGCO HLNP0209</t>
  </si>
  <si>
    <t>WLP2C02</t>
  </si>
  <si>
    <t>Клещи зажимные 250 мм 0-43 мм WADFOW WLP2C02</t>
  </si>
  <si>
    <t>WLP2C10</t>
  </si>
  <si>
    <t>Клещи зажимные 250 мм 0-43 мм WADFOW WLP2C10</t>
  </si>
  <si>
    <t>WLP1C10</t>
  </si>
  <si>
    <t>Клещи зажимные 250 мм 0-45 мм WADFOW WLP1C10</t>
  </si>
  <si>
    <t>HSJP0210</t>
  </si>
  <si>
    <t>Клещи зажимные 250 мм INGCO HSJP0210</t>
  </si>
  <si>
    <t>HCJLW0110</t>
  </si>
  <si>
    <t>Клещи зажимные 250 мм с фиксатором INGCO HCJLW0110</t>
  </si>
  <si>
    <t>COS23091</t>
  </si>
  <si>
    <t>Клещи зажимные набор 5 шт INGCO COS23091</t>
  </si>
  <si>
    <t>Ключи</t>
  </si>
  <si>
    <t>WSA8101</t>
  </si>
  <si>
    <t>Ключ динамометрический 1/2" 0-300 Нм WADFOW WSA8101</t>
  </si>
  <si>
    <t>HCSPA061</t>
  </si>
  <si>
    <t>Ключ комб.  6 мм INGCO HCSPA061 INDUSTRIAL</t>
  </si>
  <si>
    <t>HCSPA071</t>
  </si>
  <si>
    <t>Ключ комб.  7мм INGCO HCSPA071 INDUSTRIAL</t>
  </si>
  <si>
    <t>HCSPA081</t>
  </si>
  <si>
    <t>Ключ комб.  8мм INGCO HCSPA081 INDUSTRIAL</t>
  </si>
  <si>
    <t>HCSPA091</t>
  </si>
  <si>
    <t>Ключ комб.  9мм INGCO HCSPA091 INDUSTRIAL</t>
  </si>
  <si>
    <t>HCSPA101</t>
  </si>
  <si>
    <t>Ключ комб. 10мм INGCO HCSPA101 INDUSTRIAL</t>
  </si>
  <si>
    <t>HCSPA111</t>
  </si>
  <si>
    <t>Ключ комб. 11мм INGCO HCSPA111 INDUSTRIAL</t>
  </si>
  <si>
    <t>HCSPA121</t>
  </si>
  <si>
    <t>Ключ комб. 12 мм INGCO HCSPA121 INDUSTRIAL</t>
  </si>
  <si>
    <t>HCSPA141</t>
  </si>
  <si>
    <t>Ключ комб. 14мм INGCO HCSPA141 INDUSTRIAL</t>
  </si>
  <si>
    <t>HCSPA151</t>
  </si>
  <si>
    <t>Ключ комб. 15мм INGCO HCSPA151 INDUSTRIAL</t>
  </si>
  <si>
    <t>HCSPA161</t>
  </si>
  <si>
    <t>Ключ комб. 16мм INGCO HCSPA161 INDUSTRIAL</t>
  </si>
  <si>
    <t>HCSPA181</t>
  </si>
  <si>
    <t>Ключ комб. 18мм INGCO HCSPA181 INDUSTRIAL</t>
  </si>
  <si>
    <t>HCSPA191</t>
  </si>
  <si>
    <t>Ключ комб. 19мм INGCO HCSPA191 INDUSTRIAL</t>
  </si>
  <si>
    <t>HCSPA201</t>
  </si>
  <si>
    <t>Ключ комб. 20мм INGCO HCSPA201 INDUSTRIAL</t>
  </si>
  <si>
    <t>HCSPA211</t>
  </si>
  <si>
    <t>Ключ комб. 21мм INGCO HCSPA211 INDUSTRIAL</t>
  </si>
  <si>
    <t>HCSPA221</t>
  </si>
  <si>
    <t>Ключ комб. 22мм INGCO HCSPA221 INDUSTRIAL</t>
  </si>
  <si>
    <t>HCSPA231</t>
  </si>
  <si>
    <t>Ключ комб. 23мм INGCO HCSPA231 INDUSTRIAL</t>
  </si>
  <si>
    <t>HCSPA241</t>
  </si>
  <si>
    <t>Ключ комб. 24мм INGCO HCSPA241 INDUSTRIAL</t>
  </si>
  <si>
    <t>HCSPA251</t>
  </si>
  <si>
    <t>Ключ комб. 25мм INGCO HCSPA251 INDUSTRIAL</t>
  </si>
  <si>
    <t>HCSPA261</t>
  </si>
  <si>
    <t>Ключ комб. 26мм INGCO HCSPA261 INDUSTRIAL</t>
  </si>
  <si>
    <t>HCSPA271</t>
  </si>
  <si>
    <t>Ключ комб. 27мм INGCO HCSPA271 INDUSTRIAL</t>
  </si>
  <si>
    <t>HCSPA281</t>
  </si>
  <si>
    <t>Ключ комб. 28мм INGCO HCSPA281 INDUSTRIAL</t>
  </si>
  <si>
    <t>HCSPA291</t>
  </si>
  <si>
    <t>Ключ комб. 29мм INGCO HCSPA291 INDUSTRIAL</t>
  </si>
  <si>
    <t>HCSPA301</t>
  </si>
  <si>
    <t>Ключ комб. 30мм INGCO HCSPA301 INDUSTRIAL</t>
  </si>
  <si>
    <t>HCSPA321</t>
  </si>
  <si>
    <t>Ключ комб. 32мм INGCO HCSPA321 INDUSTRIAL</t>
  </si>
  <si>
    <t>HCSPAR061</t>
  </si>
  <si>
    <t>Ключ комб. с трещеткой  6мм INGCO HCSPAR061 INDUSTRIAL</t>
  </si>
  <si>
    <t>HCSPAR091</t>
  </si>
  <si>
    <t>Ключ комб. с трещеткой  9мм INGCO HCSPAR091 INDUSTRIAL</t>
  </si>
  <si>
    <t>HCSPAR101</t>
  </si>
  <si>
    <t>Ключ комб. с трещеткой 10мм INGCO HCSPAR101 INDUSTRIAL</t>
  </si>
  <si>
    <t>HCSPAR111</t>
  </si>
  <si>
    <t>Ключ комб. с трещеткой 11мм INGCO HCSPAR111 INDUSTRIAL</t>
  </si>
  <si>
    <t>HCSPAR121</t>
  </si>
  <si>
    <t>Ключ комб. с трещеткой 12мм INGCO HCSPAR121 INDUSTRIAL</t>
  </si>
  <si>
    <t>HCSPAR131</t>
  </si>
  <si>
    <t>Ключ комб. с трещеткой 13мм INGCO HCSPAR131 INDUSTRIAL</t>
  </si>
  <si>
    <t>HCSPAR141</t>
  </si>
  <si>
    <t>Ключ комб. с трещеткой 14мм INGCO HCSPAR141 INDUSTRIAL</t>
  </si>
  <si>
    <t>HCSPAR151</t>
  </si>
  <si>
    <t>Ключ комб. с трещеткой 15мм INGCO HCSPAR151 INDUSTRIAL</t>
  </si>
  <si>
    <t>HCSPAR161</t>
  </si>
  <si>
    <t>Ключ комб. с трещеткой 16мм INGCO HCSPAR161 INDUSTRIAL</t>
  </si>
  <si>
    <t>HCSPAR171</t>
  </si>
  <si>
    <t>Ключ комб. с трещеткой 17мм INGCO HCSPAR171 INDUSTRIAL</t>
  </si>
  <si>
    <t>HCSPAR191</t>
  </si>
  <si>
    <t>Ключ комб. с трещеткой 19мм INGCO HCSPAR191 INDUSTRIAL</t>
  </si>
  <si>
    <t>HCSPAR211</t>
  </si>
  <si>
    <t>Ключ комб. с трещеткой 21мм INGCO HCSPAR211 INDUSTRIAL</t>
  </si>
  <si>
    <t>HCSPAR241</t>
  </si>
  <si>
    <t>Ключ комб. с трещеткой 24мм INGCO HCSPAR241 INDUSTRIAL</t>
  </si>
  <si>
    <t>HCSPAR271</t>
  </si>
  <si>
    <t>Ключ комб. с трещеткой 27мм INGCO HCSPAR271 INDUSTRIAL</t>
  </si>
  <si>
    <t>HADW131062</t>
  </si>
  <si>
    <t>Ключ разводной 150мм INGCO HADW131062</t>
  </si>
  <si>
    <t>HADWS088</t>
  </si>
  <si>
    <t>Ключ разводной 156мм INGCO HADWS088</t>
  </si>
  <si>
    <t>WAW1108</t>
  </si>
  <si>
    <t>Ключ разводной 200 мм, 0-24 мм WADFOW WAW1108</t>
  </si>
  <si>
    <t>HADW131082</t>
  </si>
  <si>
    <t>Ключ разводной 200мм INGCO HADW131082</t>
  </si>
  <si>
    <t>WAW1110</t>
  </si>
  <si>
    <t>Ключ разводной 250 мм, 0-30 мм WADFOW WAW1110</t>
  </si>
  <si>
    <t>HADW131102</t>
  </si>
  <si>
    <t>Ключ разводной 250мм INGCO HADW131102</t>
  </si>
  <si>
    <t>WAW1115</t>
  </si>
  <si>
    <t>Ключ разводной 375 мм, 0-44 мм WADFOW WAW1115</t>
  </si>
  <si>
    <t>HADW131152</t>
  </si>
  <si>
    <t>Ключ разводной 375мм INGCO HADW131152</t>
  </si>
  <si>
    <t>WAW1118</t>
  </si>
  <si>
    <t>Ключ разводной 450 мм, 0-54 мм WADFOW WAW1118</t>
  </si>
  <si>
    <t>HADW131182</t>
  </si>
  <si>
    <t>Ключ разводной 450мм INGCO HADW131182</t>
  </si>
  <si>
    <t>HRSTW19221</t>
  </si>
  <si>
    <t>Ключ ступ. с трещеткой  19*22мм INGCO HRSTW19221 INDUSTRIAL</t>
  </si>
  <si>
    <t>HALPW0118</t>
  </si>
  <si>
    <t>Ключ трубный  450*60мм INGCO HALPW0118 INDUSTRIAL</t>
  </si>
  <si>
    <t>HALPW0124</t>
  </si>
  <si>
    <t>Ключ трубный  600*76мм INGCO HALPW0124 INDUSTRIAL</t>
  </si>
  <si>
    <t>WPW7110</t>
  </si>
  <si>
    <t>Ключ трубный 250 мм 14-30 мм WADFOW WPW7110</t>
  </si>
  <si>
    <t>WPW7114</t>
  </si>
  <si>
    <t>Ключ трубный 300 мм 30-63 мм WADFOW WPW7114</t>
  </si>
  <si>
    <t>HPW04011</t>
  </si>
  <si>
    <t>Ключ трубный рычажный  1'' INGCO HPW04011</t>
  </si>
  <si>
    <t>HPW04153</t>
  </si>
  <si>
    <t>Ключ трубный рычажный  1''-1/2  45°  INGCO HPW04153</t>
  </si>
  <si>
    <t>HPW04151</t>
  </si>
  <si>
    <t>Ключ трубный рычажный  1-1/2 '' INGCO HPW04151</t>
  </si>
  <si>
    <t>HPW04023</t>
  </si>
  <si>
    <t>Ключ трубный рычажный  2'' 45°  INGCO HPW04023</t>
  </si>
  <si>
    <t>HPW04021</t>
  </si>
  <si>
    <t>Ключ трубный рычажный  2'' INGCO HPW04021</t>
  </si>
  <si>
    <t>WPW3101</t>
  </si>
  <si>
    <t>Ключ трубный рычажный 45° 40 мм WADFOW WPW3101</t>
  </si>
  <si>
    <t>WPW3115</t>
  </si>
  <si>
    <t>Ключ трубный рычажный 45° 55 мм WADFOW WPW3115</t>
  </si>
  <si>
    <t>WPW2101</t>
  </si>
  <si>
    <t>Ключ трубный рычажный 90° 40 мм WADFOW WPW2101</t>
  </si>
  <si>
    <t>WPW2115</t>
  </si>
  <si>
    <t>Ключ трубный рычажный 90° 55 мм WADFOW WPW2115</t>
  </si>
  <si>
    <t>WUW1101</t>
  </si>
  <si>
    <t>Ключ универсальный 9-14 мм, 15-22 мм WADFOW WUW1101</t>
  </si>
  <si>
    <t>WAW1312</t>
  </si>
  <si>
    <t>Ключ цепной 60-110 мм для маслянного фильтра WADFOW WAW1312</t>
  </si>
  <si>
    <t>WAW1309</t>
  </si>
  <si>
    <t>Ключ цепной 60-150 мм для маслянного фильтра WADFOW WAW1309</t>
  </si>
  <si>
    <t>Колуны</t>
  </si>
  <si>
    <t>WHM9360</t>
  </si>
  <si>
    <t>Колун 2700 г, 90 см WADFOW WHM9360</t>
  </si>
  <si>
    <t>HAX0811000F</t>
  </si>
  <si>
    <t>Топор-колун 1000 гр фиберглассовая ручка INGCO HAX0811000F</t>
  </si>
  <si>
    <t>WHM6321</t>
  </si>
  <si>
    <t>Топор-колун 1000 гр фиберглассовая ручка WADFOW WHM6321</t>
  </si>
  <si>
    <t>WHM6322</t>
  </si>
  <si>
    <t>Топор-колун 2000 гр фибергассовая ручка WADFOW WHM6322</t>
  </si>
  <si>
    <t>Кувалды</t>
  </si>
  <si>
    <t>WHM2310</t>
  </si>
  <si>
    <t>Кувалда  1000 гр. WADFOW WHM2310</t>
  </si>
  <si>
    <t>HSTH81500</t>
  </si>
  <si>
    <t>Кувалда  1500 гр. INGCO HSTH81500</t>
  </si>
  <si>
    <t>WHM2315</t>
  </si>
  <si>
    <t>Кувалда  1500 гр. WADFOW WHM2315</t>
  </si>
  <si>
    <t>HSTH82000</t>
  </si>
  <si>
    <t>Кувалда  2000 гр. INGCO HSTH82000</t>
  </si>
  <si>
    <t>WHM2320</t>
  </si>
  <si>
    <t>Кувалда  2000 гр. WADFOW WHM2320</t>
  </si>
  <si>
    <t>HSTH83498</t>
  </si>
  <si>
    <t>Кувалда  4000 гр. ручка 900 мм SUPER INGCO HSTH83498</t>
  </si>
  <si>
    <t>WHM2350</t>
  </si>
  <si>
    <t>Кувалда  5000 гр, ручка 900 мм WADFOW WHM2350</t>
  </si>
  <si>
    <t>HSTH83598</t>
  </si>
  <si>
    <t>Кувалда  5000 гр. ручка 900 мм SUPER INGCO HSTH83598</t>
  </si>
  <si>
    <t>Молотки</t>
  </si>
  <si>
    <t>HMH82200</t>
  </si>
  <si>
    <t>Молоток  200 гр фибергласовая ручка INGCO HMH82200</t>
  </si>
  <si>
    <t>WHM1302</t>
  </si>
  <si>
    <t>Молоток  200 гр фибергласовая ручка WADFOW WHM1302</t>
  </si>
  <si>
    <t>WHM1303</t>
  </si>
  <si>
    <t>Молоток  300 гр фибергласовая ручка WADFOW WHM1303</t>
  </si>
  <si>
    <t>HMH82500</t>
  </si>
  <si>
    <t>Молоток  500 гр фибергласовая ручка INGCO HMH82500</t>
  </si>
  <si>
    <t>WHM1305</t>
  </si>
  <si>
    <t>Молоток  500 гр фибергласовая ручка WADFOW WHM1305</t>
  </si>
  <si>
    <t>HMH821000</t>
  </si>
  <si>
    <t>Молоток 1000 гр фибергласовая ручка INGCO HMH821000</t>
  </si>
  <si>
    <t>HMH821500</t>
  </si>
  <si>
    <t>Молоток 1500 гр фибергласовая ручка INGCO HMH821500</t>
  </si>
  <si>
    <t>HMH822000</t>
  </si>
  <si>
    <t>Молоток 2000 гр фибергласовая ручка INGCO HMH822000</t>
  </si>
  <si>
    <t>HDBM08028</t>
  </si>
  <si>
    <t>Молоток безынерционный INGCO HDBM08028 INDUSTRIAL 900 г</t>
  </si>
  <si>
    <t>WHM1335</t>
  </si>
  <si>
    <t>Молоток каменщика 500 гр WADFOW WHM1335</t>
  </si>
  <si>
    <t>WHM3306</t>
  </si>
  <si>
    <t>Молоток каменщика 600 г WADFOW WHM3306</t>
  </si>
  <si>
    <t>WHM5325</t>
  </si>
  <si>
    <t>Молоток слесарный 25 мм WADFOW WHM5325</t>
  </si>
  <si>
    <t>WHM33D8</t>
  </si>
  <si>
    <t>Молоток-гвоздодер 220 г WADFOW WHM33D8</t>
  </si>
  <si>
    <t>WHM3316</t>
  </si>
  <si>
    <t>Молоток-гвоздодер 330 мм, 450 г WADFOW WHM3316</t>
  </si>
  <si>
    <t>HCH81016</t>
  </si>
  <si>
    <t>Молоток-гвоздодёр 450 гр  SUPER INGCO HCH81016</t>
  </si>
  <si>
    <t>WHM3320</t>
  </si>
  <si>
    <t>Молоток-гвоздодер 560 г WADFOW WHM3320</t>
  </si>
  <si>
    <t>HCH81020</t>
  </si>
  <si>
    <t>Молоток-гвоздодёр 560 гр  SUPER INGCO HCH81020</t>
  </si>
  <si>
    <t>Наборы инструментов</t>
  </si>
  <si>
    <t>HADWK031</t>
  </si>
  <si>
    <t>Ключ разводной набор 3шт  INGCO HADWK031</t>
  </si>
  <si>
    <t>HKTS12101</t>
  </si>
  <si>
    <t>Набор головок 10 предметов  вороток 1/2, 10-24 мм INGCO HKTS12101 (5)</t>
  </si>
  <si>
    <t>HKTS12103</t>
  </si>
  <si>
    <t>Набор головок 10 предметов 1/2, 10-24 мм INGCO HKTS12103 INDUSTRIAL   (5)</t>
  </si>
  <si>
    <t>HKISSD12101</t>
  </si>
  <si>
    <t>Набор головок 10 предметов, ударных 1/2 10- 24 мм INGCO HKISSD12101 INDUSTRIAL</t>
  </si>
  <si>
    <t>HKTS12122</t>
  </si>
  <si>
    <t>Набор головок 12 предметов с трещотка 1/2, 10-24 мм (5)  INGCO HKTS12122</t>
  </si>
  <si>
    <t>HKTS12201</t>
  </si>
  <si>
    <t>Набор головок 20 предмета с трещоткой, 1/2, INGCO HKTS12201</t>
  </si>
  <si>
    <t>WST2L24</t>
  </si>
  <si>
    <t>Набор головок 24 предмета с трещоткой, 1/2" WADFOW WST2L24</t>
  </si>
  <si>
    <t>WST2D25</t>
  </si>
  <si>
    <t>Набор головок 25 предметов с трещоткой, 1/2"  WADFOW WST2D25</t>
  </si>
  <si>
    <t>HKISPA0702</t>
  </si>
  <si>
    <t>Набор диэлектрических накидных ключей 7 шт. INGCO HKISPA0702 INDUSTRIAL.</t>
  </si>
  <si>
    <t>HKISPA0701</t>
  </si>
  <si>
    <t>Набор диэлектрических рожковых ключей 7 шт. INGCO HKISPA0701 INDUSTRIAL.</t>
  </si>
  <si>
    <t>HKIST3061</t>
  </si>
  <si>
    <t>Набор диэлектрического инструмента 1000 В, INGCO HKIST3061 6 предметов</t>
  </si>
  <si>
    <t>HKITH2601</t>
  </si>
  <si>
    <t>Набор диэлектрического инструмента 1000 В, INGCO HKITH2601 26 предметов.</t>
  </si>
  <si>
    <t>HKTV01P051</t>
  </si>
  <si>
    <t>Набор диэлектрического инструмента 1000 В, INGCO HKTV01P051 5 предметов</t>
  </si>
  <si>
    <t>HKITH1601</t>
  </si>
  <si>
    <t>Набор диэлектрического инструмента 16 шт. INGCO HKITH1601</t>
  </si>
  <si>
    <t>HKTHP21001</t>
  </si>
  <si>
    <t>Набор инструмента 100 предметов пластик кейс INGCO HKTHP21001 INDUSTRIAL</t>
  </si>
  <si>
    <t>HKTHP21421</t>
  </si>
  <si>
    <t>Набор инструмента 142 предмета пластик кейс INGCO  HKTHP21421  INDUSTRIAL</t>
  </si>
  <si>
    <t>HKTHP21471</t>
  </si>
  <si>
    <t>Набор инструмента 147 предметов пластик кейс INGCO  HKTHP21471  INDUSTRIAL</t>
  </si>
  <si>
    <t>WTPT1102</t>
  </si>
  <si>
    <t>Набор инструмента для ремонта шин 7 шт WADFOW WTPT1102</t>
  </si>
  <si>
    <t>WJK1D91</t>
  </si>
  <si>
    <t>Набор клуппов с трещоткой 10 шт WADFOW WJK1D91</t>
  </si>
  <si>
    <t>HHKSET0181</t>
  </si>
  <si>
    <t>Набор ключей HEX + TORX INGCO 1,5-10мм, Т10-Т50 18 шт HHKSET0181 INDUSTRIAL  (6/36)</t>
  </si>
  <si>
    <t>HHK11091</t>
  </si>
  <si>
    <t>Набор ключей HEX INGCO 1.5-10 мм  (6/36) HHK11091 INDUSTRIAL</t>
  </si>
  <si>
    <t>HHK11092</t>
  </si>
  <si>
    <t>Набор ключей HEX INGCO 1.5-10 мм (6/36) HHK11092 INDUSTRIAL</t>
  </si>
  <si>
    <t>WHK1671</t>
  </si>
  <si>
    <t>Набор ключей HEX WADFOW 7 шт 1,5 - 6мм WHK1671</t>
  </si>
  <si>
    <t>WHK1291</t>
  </si>
  <si>
    <t>Набор ключей HEX WADFOW 9 шт 1,5 - 10мм WHK1291</t>
  </si>
  <si>
    <t>HHK12092</t>
  </si>
  <si>
    <t>Набор ключей Torx INGCO 1.5-10 мм  (6/36) Extra Long HHK12092 INDUSTRIAL</t>
  </si>
  <si>
    <t>HHK13091</t>
  </si>
  <si>
    <t>Набор ключей Torx INGCO T10-T50 (6/36) HHK13091 INDUSTRIAL</t>
  </si>
  <si>
    <t>HHK13092</t>
  </si>
  <si>
    <t>Набор ключей Torx INGCO Т10-Т50 HHK13092 INDUSTRIAL</t>
  </si>
  <si>
    <t>HKSPA2088</t>
  </si>
  <si>
    <t>Набор ключей рожковый 8 шт, 6-22 мм INGCO HKSPA2088</t>
  </si>
  <si>
    <t>HKSPAR1082</t>
  </si>
  <si>
    <t>Набор комбинированных  ключей с трещоткой 8 шт, (8-18мм) INGCO HKSPAR1082</t>
  </si>
  <si>
    <t>WSP1M14</t>
  </si>
  <si>
    <t>Набор комбинированных ключей 14 шт WADFOW WSP1M14</t>
  </si>
  <si>
    <t>HKSPA1068</t>
  </si>
  <si>
    <t>Набор комбинированных ключей 6шт (8-17мм)  INGCO HKSPA1068</t>
  </si>
  <si>
    <t>WDS2208</t>
  </si>
  <si>
    <t>Набор комбинированных ключей 8 шт WADFOW WDS2208</t>
  </si>
  <si>
    <t>WFR3208</t>
  </si>
  <si>
    <t>Набор комбинированных ключей 8 шт WADFOW WFR3208</t>
  </si>
  <si>
    <t>WSP1208</t>
  </si>
  <si>
    <t>Набор комбинированных ключей 8 шт WADFOW WSP1208</t>
  </si>
  <si>
    <t>HKSPA1088</t>
  </si>
  <si>
    <t>Набор комбинированных ключей 8шт (6.8.10.12.14.15.17.19 мм) INGCO HKSPA1088</t>
  </si>
  <si>
    <t>HKSPAR1061</t>
  </si>
  <si>
    <t>Набор комбинированных ключей с трещеткой 6 шт (19-32 мм) INGCO HKSPAR1061 INDUSTRIAL</t>
  </si>
  <si>
    <t>HKSPAR1062</t>
  </si>
  <si>
    <t>Набор комбинированных ключей с трещеткой 6 шт (8-17 мм) INGCO HKSPAR1062</t>
  </si>
  <si>
    <t>HKSPAR1122</t>
  </si>
  <si>
    <t>Набор комбинированных ключей с трещоткой 12 шт 8-19 мм INGCO HKSPAR1122 INDUSTRIAL</t>
  </si>
  <si>
    <t>HKSPAR2016</t>
  </si>
  <si>
    <t>Набор комбинированных ключей с трещоткой 16 шт (8-19+8-19 мм) INGCO HKSPAR2016 INDUSTRIAL</t>
  </si>
  <si>
    <t>WSP4207</t>
  </si>
  <si>
    <t>Набор комбинированных ключей с храповиком 7 шт WADFOW WSP4207</t>
  </si>
  <si>
    <t>HKSPA3142</t>
  </si>
  <si>
    <t>Набор накидных гаечных ключей 12 шт (6-32мм)  INGCO HKSPA3142 INDUSTRIAL</t>
  </si>
  <si>
    <t>WFS5M10</t>
  </si>
  <si>
    <t>Набор накидных ключей 10 шт WADFOW WFS5M10</t>
  </si>
  <si>
    <t>WDS2406</t>
  </si>
  <si>
    <t>Набор разрезных ключей 6 шт WADFOW WDS2406</t>
  </si>
  <si>
    <t>WDS2M10</t>
  </si>
  <si>
    <t>Набор рожковых ключей 10 шт WADFOW WDS2M10</t>
  </si>
  <si>
    <t>WST4410</t>
  </si>
  <si>
    <t>Набор торцевых головок 1/4" 10 шт (5-14) WADFOW WST4410</t>
  </si>
  <si>
    <t>WMS4D01</t>
  </si>
  <si>
    <t>Набор ударных торцевых головок 1/2" 14 шт WADFOW WMS4D01</t>
  </si>
  <si>
    <t>WHK2291</t>
  </si>
  <si>
    <t>Набор шестигранников HEX 9 шт WADFOW WHK2291</t>
  </si>
  <si>
    <t>WHK3671</t>
  </si>
  <si>
    <t>Набор шестигранников TORX 7 шт WADFOW WHK3671</t>
  </si>
  <si>
    <t>WCS2A03</t>
  </si>
  <si>
    <t>Тележка инструментальная 3 секции 688х458х735 мм WADFOW WCS2A03</t>
  </si>
  <si>
    <t>WCS2A07</t>
  </si>
  <si>
    <t>Тележка инструментальная 7 секций 688х458х735 мм WADFOW WCS2A07</t>
  </si>
  <si>
    <t>HTCS273281</t>
  </si>
  <si>
    <t>Тележка инструментальная с набором инструментов 7 секций 328 пред. INGCO HTCS273281 INDUSTRIAL</t>
  </si>
  <si>
    <t>WCS2A05</t>
  </si>
  <si>
    <t>Шкаф инструментальный 688х458х735 мм WADFOW WCS2A05</t>
  </si>
  <si>
    <t>Напильники</t>
  </si>
  <si>
    <t>HKTFS1308</t>
  </si>
  <si>
    <t>Набор напильников 3шт  200 мм INGCO HKTFS1308</t>
  </si>
  <si>
    <t>HKTFS0508</t>
  </si>
  <si>
    <t>Набор напильников 5шт  200 мм INGCO HKTFS0508</t>
  </si>
  <si>
    <t>HKTFW0308</t>
  </si>
  <si>
    <t>Набор напильников по дереву 3 пред. 200 мм INGCO HKTFW0308 INDUSTRIAL</t>
  </si>
  <si>
    <t>WFE7838</t>
  </si>
  <si>
    <t>Напильник квадратный 200 мм WADFOW WFE7838</t>
  </si>
  <si>
    <t>HSSF088</t>
  </si>
  <si>
    <t>Напильник квадратный пластиковая ручка, 200 мм INGCO HSSF088</t>
  </si>
  <si>
    <t>WFE7848</t>
  </si>
  <si>
    <t>Напильник круглый 200 мм WADFOW WFE7848</t>
  </si>
  <si>
    <t>HSRF088</t>
  </si>
  <si>
    <t>Напильник круглый пластиковая ручка, 200 мм INGCO HSRF088</t>
  </si>
  <si>
    <t>WFE7816</t>
  </si>
  <si>
    <t>Напильник плоский 150 мм WADFOW WFE7816</t>
  </si>
  <si>
    <t>WFE7826</t>
  </si>
  <si>
    <t>Напильник полукруглый 150 мм WADFOW WFE7826</t>
  </si>
  <si>
    <t>WFE7828</t>
  </si>
  <si>
    <t>Напильник полукруглый 200 мм WADFOW WFE7828</t>
  </si>
  <si>
    <t>HSHF088</t>
  </si>
  <si>
    <t>Напильник полукруглый по металлу 200 мм INGCO HSHF088 INDUSTRIAL</t>
  </si>
  <si>
    <t>HSHF088P</t>
  </si>
  <si>
    <t>Напильник полукруглый по металлу 200 мм INGCO HSHF088 INDUSTRIALP</t>
  </si>
  <si>
    <t>WFE7856</t>
  </si>
  <si>
    <t>Напильник треугольный 150 мм WADFOW WFE7856</t>
  </si>
  <si>
    <t>WFE7858</t>
  </si>
  <si>
    <t>Напильник треугольный 200 мм WADFOW WFE7858</t>
  </si>
  <si>
    <t>WFE8848</t>
  </si>
  <si>
    <t>Рашпиль круглый 200 мм WADFOW WFE8848</t>
  </si>
  <si>
    <t>WFE8818</t>
  </si>
  <si>
    <t>Рашпиль плоский 200 мм WADFOW WFE8818</t>
  </si>
  <si>
    <t>WFE8828</t>
  </si>
  <si>
    <t>Рашпиль полукруглый по дереву 200 мм WADFOW WFE8828</t>
  </si>
  <si>
    <t>Ножницы</t>
  </si>
  <si>
    <t>WSX4633</t>
  </si>
  <si>
    <t>Набор ножниц 3 шт (72) WADFOW WSX4633</t>
  </si>
  <si>
    <t>WSX1604</t>
  </si>
  <si>
    <t>Ножницы 275 мм WADFOW WSX1604</t>
  </si>
  <si>
    <t>WSX5601</t>
  </si>
  <si>
    <t>Ножницы 275 мм WADFOW WSX5601</t>
  </si>
  <si>
    <t>WSX1602</t>
  </si>
  <si>
    <t>Ножницы кухонные 210 мм WADFOW WSX1602</t>
  </si>
  <si>
    <t>HSCRS822251</t>
  </si>
  <si>
    <t>Ножницы кухонные 225 мм INGCO HSCRS822251</t>
  </si>
  <si>
    <t>WSX1605</t>
  </si>
  <si>
    <t>Ножницы кухонные 225 мм WADFOW WSX1605</t>
  </si>
  <si>
    <t>WAS2410</t>
  </si>
  <si>
    <t>Ножницы по металлу 250 мм WADFOW WAS2410</t>
  </si>
  <si>
    <t>HTSN0110L</t>
  </si>
  <si>
    <t>Ножницы по металлу INGCO левый рез HTSN0110L (6/36)</t>
  </si>
  <si>
    <t>HTSN0110R</t>
  </si>
  <si>
    <t>Ножницы по металлу INGCO правый рез HTSN0110R (6/36)</t>
  </si>
  <si>
    <t>HTSN0110S</t>
  </si>
  <si>
    <t>Ножницы по металлу INGCO прямой рез 250 мм HTSN0110S (6/36)</t>
  </si>
  <si>
    <t>HTSN0112S</t>
  </si>
  <si>
    <t>Ножницы по металлу INGCO прямой рез, 300мм INGCO HTSN0112S (6/36)</t>
  </si>
  <si>
    <t>WSX2655</t>
  </si>
  <si>
    <t>Ножницы универсальные 140 мм WADFOW WSX2655</t>
  </si>
  <si>
    <t>WSX2607</t>
  </si>
  <si>
    <t>Ножницы универсальные 160 мм WADFOW WSX2607</t>
  </si>
  <si>
    <t>WSX1601</t>
  </si>
  <si>
    <t>Ножницы универсальные 215 мм WADFOW WSX1601</t>
  </si>
  <si>
    <t>Ножовки по дереву</t>
  </si>
  <si>
    <t>WHW1116</t>
  </si>
  <si>
    <t>Ножовка по дереву 400 мм 7TPI WADFOW WHW1116</t>
  </si>
  <si>
    <t>HHAS68400</t>
  </si>
  <si>
    <t>Ножовка по дереву 400 мм 9TPI INGCO HHAS68400 INDUSTRIAL</t>
  </si>
  <si>
    <t>HHAS15400</t>
  </si>
  <si>
    <t>Ножовка по дереву 400 мм INGCO HHAS15400</t>
  </si>
  <si>
    <t>WHW1118</t>
  </si>
  <si>
    <t>Ножовка по дереву 450 мм 7TPI WADFOW WHW1118</t>
  </si>
  <si>
    <t>HHAS68450</t>
  </si>
  <si>
    <t>Ножовка по дереву 450 мм 9TPI INGCO HHAS68450 INDUSTRIAL</t>
  </si>
  <si>
    <t>WHW1120</t>
  </si>
  <si>
    <t>Ножовка по дереву 500 мм 7TPI WADFOW WHW1120</t>
  </si>
  <si>
    <t>HHAS68500</t>
  </si>
  <si>
    <t>Ножовка по дереву 500 мм 9TPI INGCO HHAS68500 INDUSTRIAL</t>
  </si>
  <si>
    <t>HHAS08500</t>
  </si>
  <si>
    <t>Ножовка по дереву 500мм 7TPI  INGCO HHAS08500</t>
  </si>
  <si>
    <t>WHW9124</t>
  </si>
  <si>
    <t>Ножовка по пенобетону 600 мм WADFOW WHW9124</t>
  </si>
  <si>
    <t>WHW2112</t>
  </si>
  <si>
    <t>Ножовка со стуслом 300 мм 11TPI WADFOW WHW2112</t>
  </si>
  <si>
    <t>HMBSB30062</t>
  </si>
  <si>
    <t>Пила обушковая со стуслом 300 мм, INGCO HMBSB30062</t>
  </si>
  <si>
    <t>Ножовки по металлу</t>
  </si>
  <si>
    <t>MHHF1503</t>
  </si>
  <si>
    <t>Ножовка по металлу 150 мм  мини INGCO MHHF1503</t>
  </si>
  <si>
    <t>MHHF1505</t>
  </si>
  <si>
    <t>Ножовка по металлу 150 мм  мини INGCO MHHF1505</t>
  </si>
  <si>
    <t>WHF2105</t>
  </si>
  <si>
    <t>Ножовка по металлу 150 мм WADFOW WHF2105</t>
  </si>
  <si>
    <t>WHF3138</t>
  </si>
  <si>
    <t>Ножовка по металлу 300 мм WADFOW WHF3138</t>
  </si>
  <si>
    <t>HHFS3058</t>
  </si>
  <si>
    <t>Ножовка по металлу 300мм INGCO HHFS3058 (24)</t>
  </si>
  <si>
    <t>HHFS3068</t>
  </si>
  <si>
    <t>Ножовка по металлу 300мм INGCO HHFS3068 (24)</t>
  </si>
  <si>
    <t>Отвертки</t>
  </si>
  <si>
    <t>WSD1286</t>
  </si>
  <si>
    <t>Oтвертка плоская SL8х150мм WADFOW WSD1286</t>
  </si>
  <si>
    <t>WKM1601</t>
  </si>
  <si>
    <t>Намагничиватель для отверток 2 в 1 WADFOW WKM1601</t>
  </si>
  <si>
    <t>HSDPH0075</t>
  </si>
  <si>
    <t>Отвертка PH0* 75мм INGCO HSDPH0075</t>
  </si>
  <si>
    <t>WSD2211</t>
  </si>
  <si>
    <t>Отвертка PH1* 38мм WADFOW WSD2211</t>
  </si>
  <si>
    <t>HSDPH1100</t>
  </si>
  <si>
    <t>Отвертка PH1*100мм INGCO Cr-V HSDPH1100</t>
  </si>
  <si>
    <t>WSD2214</t>
  </si>
  <si>
    <t>Отвертка PH1*100мм WADFOW WSD2214</t>
  </si>
  <si>
    <t>WSD2213</t>
  </si>
  <si>
    <t>Отвертка PH1*75мм WADFOW WSD2213</t>
  </si>
  <si>
    <t>HSDPH2038</t>
  </si>
  <si>
    <t>Отвертка PH2* 38мм INGCO  HSDPH2038</t>
  </si>
  <si>
    <t>WSD2221</t>
  </si>
  <si>
    <t>Отвертка PH2* 38мм WADFOW WSD2221</t>
  </si>
  <si>
    <t>WSD2224</t>
  </si>
  <si>
    <t>Отвертка PH2*100мм WADFOW WSD2224</t>
  </si>
  <si>
    <t>HSDPH2125</t>
  </si>
  <si>
    <t>Отвертка PH2*125мм INGCO HSDPH2125</t>
  </si>
  <si>
    <t>WSD2225</t>
  </si>
  <si>
    <t>Отвертка PH2*125мм WADFOW WSD2225</t>
  </si>
  <si>
    <t>HSDPH2150</t>
  </si>
  <si>
    <t>Отвертка PH2*150 INGCO HSDPH2150 INDUSTRIAL</t>
  </si>
  <si>
    <t>WSD2226</t>
  </si>
  <si>
    <t>Отвертка PH2*150мм WADFOW WSD2226</t>
  </si>
  <si>
    <t>HS68PH3150</t>
  </si>
  <si>
    <t>Отвертка PH3*150мм INGCO Cr-V HS68PH3150</t>
  </si>
  <si>
    <t>HSDPH3150</t>
  </si>
  <si>
    <t>Отвертка PH3*150мм INGCO Cr-V HSDPH3150</t>
  </si>
  <si>
    <t>WSD2236</t>
  </si>
  <si>
    <t>Отвертка PH3*150мм WADFOW WSD2236</t>
  </si>
  <si>
    <t>HGTSPH3150</t>
  </si>
  <si>
    <t>Отвертка PH3*150мм ударная INGCO Cr-V HGTSPH3150</t>
  </si>
  <si>
    <t>HSDSPH3200</t>
  </si>
  <si>
    <t>Отвертка PH3*200мм INGCO Cr-V HSDSPH3200.</t>
  </si>
  <si>
    <t>HS68PH3200</t>
  </si>
  <si>
    <t>Отвертка PH3*200мм INGCO HS68PH3200 INDUSTRIAL</t>
  </si>
  <si>
    <t>WSD2238</t>
  </si>
  <si>
    <t>Отвертка PH3*200мм WADFOW WSD2238</t>
  </si>
  <si>
    <t>HGTS68PH3200</t>
  </si>
  <si>
    <t>Отвертка PH3*200мм ударная INGCO Cr-V HGTS68PH3200</t>
  </si>
  <si>
    <t>HGTSPH3200</t>
  </si>
  <si>
    <t>Отвертка PH3*200мм ударная INGCO Cr-V HGTSPH3200</t>
  </si>
  <si>
    <t>HSDPZ1100</t>
  </si>
  <si>
    <t>Отвертка PZ1*100мм INGCO HSDPZ1100</t>
  </si>
  <si>
    <t>WSDZ214</t>
  </si>
  <si>
    <t>Отвертка PZ1*100мм WADFOW WSDZ214</t>
  </si>
  <si>
    <t>HSDPZ2150</t>
  </si>
  <si>
    <t>Отвертка PZ2*150мм INGCO HSDPZ2150</t>
  </si>
  <si>
    <t>WSDZ226</t>
  </si>
  <si>
    <t>Отвертка PZ2*150мм WADFOW WSDZ226</t>
  </si>
  <si>
    <t>HS586150</t>
  </si>
  <si>
    <t>Отвертка SL 6*150мм INGCO  (12) HS586150</t>
  </si>
  <si>
    <t>WSD1265</t>
  </si>
  <si>
    <t>Отвертка SL 6,5*125мм WADFOW WSD1265</t>
  </si>
  <si>
    <t>HSDSL6150</t>
  </si>
  <si>
    <t>Отвертка SL 6,5*150мм Cr-V INGCO HSDSL6150</t>
  </si>
  <si>
    <t>HSDSL6038</t>
  </si>
  <si>
    <t>Отвертка SL 6,5*38мм INGCO HSDSL6038 INDUSTRIAL</t>
  </si>
  <si>
    <t>WSD1264</t>
  </si>
  <si>
    <t>Отвертка SL 6.5*100мм WADFOW WSD1264</t>
  </si>
  <si>
    <t>HSDSL6125</t>
  </si>
  <si>
    <t>Отвертка SL 6.5*125мм INGCO HSDSL6125 INDUSTRIAL</t>
  </si>
  <si>
    <t>WSD1266</t>
  </si>
  <si>
    <t>Отвертка SL 6.5*150мм WADFOW WSD1266</t>
  </si>
  <si>
    <t>HGTS288200</t>
  </si>
  <si>
    <t>Отвертка SL 8*200мм ударная Cr-V INGCO HGTS288200</t>
  </si>
  <si>
    <t>WSS45M1</t>
  </si>
  <si>
    <t>Отвертка двухсторонняя 6.5х68 мм WADFOW WSS45M1</t>
  </si>
  <si>
    <t>AKISD0203</t>
  </si>
  <si>
    <t>Отвертка двухсторонняя PH1*SL5. 135мм  INGCO AKISD0203</t>
  </si>
  <si>
    <t>AKISD26150</t>
  </si>
  <si>
    <t>Отвертка двухсторонняя PH2*SL6. 150мм  INGCO AKISD26150</t>
  </si>
  <si>
    <t>AKISD0201</t>
  </si>
  <si>
    <t>Отвертка двухсторонняя PH2*SL6. 160мм  INGCO AKISD0201</t>
  </si>
  <si>
    <t>WSS45M3</t>
  </si>
  <si>
    <t>Отвертка двухсторонняя PH2+SL6.5x130 мм WADFOW WSS45M3</t>
  </si>
  <si>
    <t>Отвертки диэлектрические</t>
  </si>
  <si>
    <t>WTP2902</t>
  </si>
  <si>
    <t>Oтвертка Диэлектрик шлиц 4х190мм WADFOW WTP2902</t>
  </si>
  <si>
    <t>WTP2901</t>
  </si>
  <si>
    <t>Oтвертка индикаторная 3х140мм WADFOW WTP2901</t>
  </si>
  <si>
    <t>VD100091</t>
  </si>
  <si>
    <t>Бесконтактный детектор напряжения AC 12-1000 В INGCO VD100091</t>
  </si>
  <si>
    <t>HKISD1201</t>
  </si>
  <si>
    <t>Диэлектрическая отвертка с насадками 12 шт. INGCO HKISD1201 INDUSTRIAL</t>
  </si>
  <si>
    <t>HKTV01S101</t>
  </si>
  <si>
    <t>Набор диэлектрического инструмента 1000 В, INGCO HKTV01S101 10 предметов INDUSTRIAL*</t>
  </si>
  <si>
    <t>HISD81PH2100</t>
  </si>
  <si>
    <t>Отвертка Диэлектрик крест PH 2х100мм до 1000В INGCO HISD81PH2100 INDUSTRIAL</t>
  </si>
  <si>
    <t>HISD81PH3150</t>
  </si>
  <si>
    <t>Отвертка Диэлектрик крест PH 3х150мм до 1000В INGCO HISD81PH3150 INDUSTRIAL</t>
  </si>
  <si>
    <t>HISD81PZ2100</t>
  </si>
  <si>
    <t>Отвертка Диэлектрик крест PZ2х100мм до 1000В INGCO HISD81PZ2100 INDUSTRIAL</t>
  </si>
  <si>
    <t>HISD814100</t>
  </si>
  <si>
    <t>Отвертка Диэлектрик шлиц SL4 x 100 INGCO HISD814100 INDUSTRIAL</t>
  </si>
  <si>
    <t>HSDT33001</t>
  </si>
  <si>
    <t>Отвертка индикаторная 12-300В INGCO HSDT33001 INDUSTRIAL</t>
  </si>
  <si>
    <t>HSDT1408</t>
  </si>
  <si>
    <t>Отвертка индикаторная INGCO HSDT1408, АС 100-500В, Прямой шлиц: 3х140мм</t>
  </si>
  <si>
    <t>HSDT1908</t>
  </si>
  <si>
    <t>Отвертка индикаторная INGCO HSDT1908, АС 100-500В, Прямой шлиц: 4х190мм</t>
  </si>
  <si>
    <t>WTP414501</t>
  </si>
  <si>
    <t>Тестер напряжения автомобильный 6-24В WADFOW WTP414501</t>
  </si>
  <si>
    <t>Отвертки наборы</t>
  </si>
  <si>
    <t>WSS5506</t>
  </si>
  <si>
    <t>Oтвертка 6 в 1 WADFOW WSS5506</t>
  </si>
  <si>
    <t>WSV8K31</t>
  </si>
  <si>
    <t>Набор бит с держателем 11 шт WADFOW WSV8K31</t>
  </si>
  <si>
    <t>HKSDS2228</t>
  </si>
  <si>
    <t>Набор отвeрток  2 шт  (PH2*6*38. SL6,5*6*38) INGCO HKSDS2228 INDUSTRIAL</t>
  </si>
  <si>
    <t>HKSD0248</t>
  </si>
  <si>
    <t>Набор отвeрток  2 шт (PH2*6*125. SL6,5*6*125) INGCO HKSD0248 INDUSTRIAL</t>
  </si>
  <si>
    <t>WSS1202</t>
  </si>
  <si>
    <t>Набор отвeрток  2 шт WADFOW WSS1202</t>
  </si>
  <si>
    <t>WSS1302</t>
  </si>
  <si>
    <t>Набор отвeрток  2 шт WADFOW WSS1302</t>
  </si>
  <si>
    <t>HKSD0428</t>
  </si>
  <si>
    <t>Набор отвeрток  4 шт (SL5*100, SL6*150, PH1*100, PH2*150) INGCO HKSD0428</t>
  </si>
  <si>
    <t>HKSD0628</t>
  </si>
  <si>
    <t>Набор отвeрток  6 шт INGCO HKSD0628 INDUSTRIAL</t>
  </si>
  <si>
    <t>HKSD0828</t>
  </si>
  <si>
    <t>Набор отвeрток  8 шт (SL3.0, SL5.5, SL6.5, SL6.5, PH0, PH1, PH2*125, PH2*38) INGCO HKSD0828</t>
  </si>
  <si>
    <t>HKSD1028</t>
  </si>
  <si>
    <t>Набор отвeрток 10 шт INGCO HKSD1028 INDUSTRIAL</t>
  </si>
  <si>
    <t>HKSD2628</t>
  </si>
  <si>
    <t>Набор отвeрток 26 шт INGCO HKSD2628</t>
  </si>
  <si>
    <t>HKSDB0248</t>
  </si>
  <si>
    <t>Набор отвертка реверсивная 24шт INGCO HKSDB0248</t>
  </si>
  <si>
    <t>WSS8B28</t>
  </si>
  <si>
    <t>Набор отвертка реверсивная 28шт WADFOW WSS8B28</t>
  </si>
  <si>
    <t>AKISD3001</t>
  </si>
  <si>
    <t>Набор отвертка реверсивная 30 шт INGCO AKISD3001</t>
  </si>
  <si>
    <t>WSS8B43</t>
  </si>
  <si>
    <t>Набор отвертка реверсивная 43шт WADFOW WSS8B43</t>
  </si>
  <si>
    <t>WSS8B45</t>
  </si>
  <si>
    <t>Набор отвертка реверсивная 45шт WADFOW WSS8B45</t>
  </si>
  <si>
    <t>HKSDB0478</t>
  </si>
  <si>
    <t>Набор отвертка реверсивная 47шт Т-обр INGCO HKSDB0478</t>
  </si>
  <si>
    <t>AKISDS1728</t>
  </si>
  <si>
    <t>Набор отвертка реверсивная 8шт  INGCO AKISDS1728</t>
  </si>
  <si>
    <t>AKISD0808</t>
  </si>
  <si>
    <t>Набор отвертка реверсивная 8шт INGCO AKISD0808 INDUSTRIAL</t>
  </si>
  <si>
    <t>WYM1B13</t>
  </si>
  <si>
    <t>Набор отвертка ударная со сменными битами 13шт WADFOW WYM1B13</t>
  </si>
  <si>
    <t>WSS2B26</t>
  </si>
  <si>
    <t>Набор прецизионных отверток 6 шт WADFOW WSS2B26</t>
  </si>
  <si>
    <t>Плиткорезы</t>
  </si>
  <si>
    <t>HTC041001</t>
  </si>
  <si>
    <t>Плиткорез 1000 мм плитка до 16мм INGCO HTC041001 INDUSTRIAL</t>
  </si>
  <si>
    <t>HTC041200</t>
  </si>
  <si>
    <t>Плиткорез 1200 мм плитка до 12мм INGCO HTC041200</t>
  </si>
  <si>
    <t>HTC041201</t>
  </si>
  <si>
    <t>Плиткорез 1200 мм плитка до 16мм INGCO HTC041201</t>
  </si>
  <si>
    <t>HTC04602</t>
  </si>
  <si>
    <t>Плиткорез 600 мм плитка до 16мм INGCO HTC04602</t>
  </si>
  <si>
    <t>WUU1501</t>
  </si>
  <si>
    <t>Плиткорез аккумуляторный 20В WADFOW WUU1501 Без АКБ и З/У</t>
  </si>
  <si>
    <t>WTR8512</t>
  </si>
  <si>
    <t>Плиткорез ручной 1200 мм WADFOW WTR8512</t>
  </si>
  <si>
    <t>WTR1504</t>
  </si>
  <si>
    <t>Плиткорез ручной 400 мм WADFOW WTR1504</t>
  </si>
  <si>
    <t>WTR1506</t>
  </si>
  <si>
    <t>Плиткорез ручной 600 мм WADFOW WTR1506</t>
  </si>
  <si>
    <t>WTR1561</t>
  </si>
  <si>
    <t>Плиткорез ручной 600 мм WADFOW WTR1561</t>
  </si>
  <si>
    <t>Плоскогубцы</t>
  </si>
  <si>
    <t>HKPS28458</t>
  </si>
  <si>
    <t>Набор губцевого инструмента 4 предмета (200,160,160+180мм) INGCO HKPS28458</t>
  </si>
  <si>
    <t>HMPS01115</t>
  </si>
  <si>
    <t>Набор губцевого инструмента 5 предмета мини (115мм) INGCO HMPS01115</t>
  </si>
  <si>
    <t>WPS1615</t>
  </si>
  <si>
    <t>Набор мини плоскогубцев 5 шт WADFOW WPS1615</t>
  </si>
  <si>
    <t>WPS0603</t>
  </si>
  <si>
    <t>Набор плоскогубцев 3 шт WADFOW WPS0603</t>
  </si>
  <si>
    <t>WPS0623</t>
  </si>
  <si>
    <t>Набор плоскогубцев 3 шт WADFOW WPS0623</t>
  </si>
  <si>
    <t>WPS0604</t>
  </si>
  <si>
    <t>Набор плоскогубцев 4 шт WADFOW WPS0604</t>
  </si>
  <si>
    <t>HHCP28160</t>
  </si>
  <si>
    <t>Плоскогубцы  160 мм INGCO HHCP28160 INDUSTRIAL комбинированные</t>
  </si>
  <si>
    <t>WPL1C06</t>
  </si>
  <si>
    <t>Плоскогубцы  160 мм WADFOW WPL1C06</t>
  </si>
  <si>
    <t>HCP08168</t>
  </si>
  <si>
    <t>Плоскогубцы  160мм  INGCO двухкомпонентные ручки (20) HCP08168</t>
  </si>
  <si>
    <t>HCCP58180</t>
  </si>
  <si>
    <t>Плоскогубцы  180 мм INGCO HCCP58180 комбинированные INDUSTRIAL</t>
  </si>
  <si>
    <t>WPL1C07</t>
  </si>
  <si>
    <t>Плоскогубцы  180 мм WADFOWWPL1C07</t>
  </si>
  <si>
    <t>HMFCP28200</t>
  </si>
  <si>
    <t>Плоскогубцы  180 мм многофункциональные 8 в 1, INGCO HMFCP28200 INDUSTRIAL</t>
  </si>
  <si>
    <t>HCP08188</t>
  </si>
  <si>
    <t>Плоскогубцы  180мм  INGCO  HCP08188</t>
  </si>
  <si>
    <t>HHCP28180</t>
  </si>
  <si>
    <t>Плоскогубцы  180мм  INGCO двухкомпонентные ручки усиленные(20) HHCP28180</t>
  </si>
  <si>
    <t>WPL1C08</t>
  </si>
  <si>
    <t>Плоскогубцы  200 мм WADFOW WPL1C08</t>
  </si>
  <si>
    <t>WPL1778</t>
  </si>
  <si>
    <t>Плоскогубцы  200 мм WADFOW многофункциональные  7 в 1  WPL1778</t>
  </si>
  <si>
    <t>HCP08208</t>
  </si>
  <si>
    <t>Плоскогубцы  200мм  INGCO двухкомпонентные ручки  (20) HCP08208</t>
  </si>
  <si>
    <t>HHCP28200</t>
  </si>
  <si>
    <t>Плоскогубцы  200мм  INGCO двухкомпонентные ручки усиленные (20) HHCP28200</t>
  </si>
  <si>
    <t>HCCP58200</t>
  </si>
  <si>
    <t>Плоскогубцы  200мм INGCO HCCP58200 INDUSTRIAL комбинированные, двухкомпонентные ручки (20)</t>
  </si>
  <si>
    <t>HHCP28240</t>
  </si>
  <si>
    <t>Плоскогубцы  240 мм INGCO HHCP28240 INDUSTRIAL</t>
  </si>
  <si>
    <t>HICP28168</t>
  </si>
  <si>
    <t>Плоскогубцы диэлектрические 160 мм INGCO HICP28168 INDUSTRIAL</t>
  </si>
  <si>
    <t>HICP28188</t>
  </si>
  <si>
    <t>Плоскогубцы диэлектрические 180 мм INGCO HICP28188 INDUSTRIAL</t>
  </si>
  <si>
    <t>HFP2508</t>
  </si>
  <si>
    <t>Плоскогубцы для ограждения  250 мм INGCO HFP2508</t>
  </si>
  <si>
    <t>HMFNP08115</t>
  </si>
  <si>
    <t>Плоскогубцы мини 115 мм INGCO HMFNP08115</t>
  </si>
  <si>
    <t>Полотна</t>
  </si>
  <si>
    <t>WHB2118</t>
  </si>
  <si>
    <t>Набор пильных полотен по металлу 6 шт, 300 мм 18TPI WADFOW WHB2118</t>
  </si>
  <si>
    <t>WHB2124</t>
  </si>
  <si>
    <t>Набор пильных полотен по металлу 6 шт, 300 мм 24TPI WADFOW WHB2124</t>
  </si>
  <si>
    <t>JBT1501</t>
  </si>
  <si>
    <t>Набор полотен для электролобзика 15 шт, дерево, металл  INGCO JBT1501</t>
  </si>
  <si>
    <t>JSBT2001</t>
  </si>
  <si>
    <t>Набор полотен для электролобзика 20 шт, INGCO JSBT2001, аллюминий, дерево, металл</t>
  </si>
  <si>
    <t>JBT318A</t>
  </si>
  <si>
    <t>Набор полотен для электролобзика 5 шт,  INGCO JBT318A по металлу</t>
  </si>
  <si>
    <t>JSBT118B</t>
  </si>
  <si>
    <t>Набор полотен для электролобзика 5 шт, 74 мм. INGCO JSBT118B по метал</t>
  </si>
  <si>
    <t>JBT244D</t>
  </si>
  <si>
    <t>Полотна  для электролобзика по дереву 5 шт, INGCO JBT244D</t>
  </si>
  <si>
    <t>HSBB12186</t>
  </si>
  <si>
    <t>Полотна для ножовки по мет 300 мм 18T INGCO HSBB12186 INDUSTRIAL (10)</t>
  </si>
  <si>
    <t>HSBB12246</t>
  </si>
  <si>
    <t>Полотна для ножовки по мет 300 мм 24T INGCO HSBB12246 INDUSTRIAL (10)</t>
  </si>
  <si>
    <t>HSBKT12245</t>
  </si>
  <si>
    <t>Полотна для ножовки по мет 300 мм 24T, 5шт  INGCO HSBKT12245*</t>
  </si>
  <si>
    <t>RSB1001</t>
  </si>
  <si>
    <t>Полотна для сабельной электроножовки, SS-хвостовик INGCO RSB1001</t>
  </si>
  <si>
    <t>SSB644D</t>
  </si>
  <si>
    <t>Полотна для сабельной электроножовки, SS-хвостовик INGCO SSB644D</t>
  </si>
  <si>
    <t>JSBT111C</t>
  </si>
  <si>
    <t>Полотна для электролобзика 5 шт INGCO JSBT111C по дереву</t>
  </si>
  <si>
    <t>JSBT101D</t>
  </si>
  <si>
    <t>Полотна для электролобзика 5 шт, 100*74мм, Т-хв, шаг 4мм, INGCO JSBT101D 10-45мм дерево, чистый рез</t>
  </si>
  <si>
    <t>JBT144D</t>
  </si>
  <si>
    <t>Полотна для электролобзика 5 шт. 100/74мм, Т-хв, шаг 5 мм, INGCO JBT144D 5-50мм дерево, быстрый рез</t>
  </si>
  <si>
    <t>JBT15111C</t>
  </si>
  <si>
    <t>Полотна для электролобзика15 шт, 100/75 мм, Т-хв, шаг 3 мм, INGCO JBT15111C дерево*</t>
  </si>
  <si>
    <t>Стамески</t>
  </si>
  <si>
    <t>HWC0806</t>
  </si>
  <si>
    <t>Стамеска  6 мм INGCO HWC0806 INDUSTRIAL</t>
  </si>
  <si>
    <t>HWC0816</t>
  </si>
  <si>
    <t>Стамеска 16 мм INGCO HWC0816 INDUSTRIAL</t>
  </si>
  <si>
    <t>HWC0819</t>
  </si>
  <si>
    <t>Стамеска 19 мм  INGCO HWC0819 INDUSTRIAL</t>
  </si>
  <si>
    <t>HWC0822</t>
  </si>
  <si>
    <t>Стамеска 22 мм INGCO HWC0822 INDUSTRIAL</t>
  </si>
  <si>
    <t>HWC0825</t>
  </si>
  <si>
    <t>Стамеска 25 мм INGCO HWC0825 INDUSTRIAL</t>
  </si>
  <si>
    <t>WWC1238</t>
  </si>
  <si>
    <t>Стамеска 38х140 мм WADFOW WWC1238</t>
  </si>
  <si>
    <t>Стеклорезы</t>
  </si>
  <si>
    <t>WPL0C04</t>
  </si>
  <si>
    <t>Кусачки для стекла 200 мм WADFOW WPL0C04</t>
  </si>
  <si>
    <t>WGR1601</t>
  </si>
  <si>
    <t>Стеклорез 165 мм WADFOW WGR1601</t>
  </si>
  <si>
    <t>HGCT02</t>
  </si>
  <si>
    <t>Стеклорез ролик INGCO HGCT02</t>
  </si>
  <si>
    <t>HGCT03</t>
  </si>
  <si>
    <t>Стеклорез ролик INGCO HGCT03</t>
  </si>
  <si>
    <t>HGCT05</t>
  </si>
  <si>
    <t>Стеклорез ролик INGCO HGCT05 масло</t>
  </si>
  <si>
    <t>Струбцины</t>
  </si>
  <si>
    <t>HFC021202</t>
  </si>
  <si>
    <t>Струбцина F 120*500мм универсальная INGCO HFC021202</t>
  </si>
  <si>
    <t>HFC021404</t>
  </si>
  <si>
    <t>Струбцина F 140*1000мм универсальная INGCO HFC021404</t>
  </si>
  <si>
    <t>HFC020501</t>
  </si>
  <si>
    <t>Струбцина F-типа  50*150 мм универсальная INGCO HFC020501</t>
  </si>
  <si>
    <t>HFC020502</t>
  </si>
  <si>
    <t>Струбцина F-типа  50*200 мм универсальная INGCO HFC020502</t>
  </si>
  <si>
    <t>WCP2152</t>
  </si>
  <si>
    <t>Струбцина F-типа  50*200 мм универсальная WADFOW WCP2152</t>
  </si>
  <si>
    <t>HFC020503</t>
  </si>
  <si>
    <t>Струбцина F-типа  50*250 мм универсальная   INGCO HFC020503</t>
  </si>
  <si>
    <t>WCP2153</t>
  </si>
  <si>
    <t>Струбцина F-типа  50*250 мм универсальная WADFOW WCP2153</t>
  </si>
  <si>
    <t>WCP2181</t>
  </si>
  <si>
    <t>Струбцина F-типа  80*300 мм универсальная WADFOW WCP2181</t>
  </si>
  <si>
    <t>HFC021201</t>
  </si>
  <si>
    <t>Струбцина F-типа 120*300 мм универсальная INGCO HFC021201</t>
  </si>
  <si>
    <t>WCP2121</t>
  </si>
  <si>
    <t>Струбцина F-типа 120*300 мм универсальная WADFOW WCP2121</t>
  </si>
  <si>
    <t>HFC021204</t>
  </si>
  <si>
    <t>Струбцина F-типа 120*400 мм универсальная INGCO HFC021204</t>
  </si>
  <si>
    <t>WCP2123</t>
  </si>
  <si>
    <t>Струбцина F-типа 120*500 мм универсальная WADFOW WCP2123</t>
  </si>
  <si>
    <t>HGC0106</t>
  </si>
  <si>
    <t>Струбцина G-образн 150мм INGCO HGC0106 (20)</t>
  </si>
  <si>
    <t>HGC0108</t>
  </si>
  <si>
    <t>Струбцина G-образн 200мм INGCO HGC0108 (20)</t>
  </si>
  <si>
    <t>WCP4374</t>
  </si>
  <si>
    <t>Струбцина быстрозажимная 35х100 мм WADFOW WCP4374</t>
  </si>
  <si>
    <t>WCP4388</t>
  </si>
  <si>
    <t>Струбцина быстрозажимная 45х200 мм WADFOW WCP4388</t>
  </si>
  <si>
    <t>WCP4312</t>
  </si>
  <si>
    <t>Струбцина быстрозажимная 60х300 мм WADFOW WCP4312</t>
  </si>
  <si>
    <t>WCP4318</t>
  </si>
  <si>
    <t>Струбцина быстрозажимная 60х450 мм WADFOW WCP4318</t>
  </si>
  <si>
    <t>WCP4324</t>
  </si>
  <si>
    <t>Струбцина быстрозажимная 60х600 мм WADFOW WCP4324</t>
  </si>
  <si>
    <t>HQBC01601</t>
  </si>
  <si>
    <t>Струбцина быстрозажимная 63х150 мм INGCO HQBC01601 INDUSTRIAL</t>
  </si>
  <si>
    <t>HQBC01602</t>
  </si>
  <si>
    <t>Струбцина быстрозажимная 63х300 мм INGCO HQBC01602 INDUSTRIAL</t>
  </si>
  <si>
    <t>HQBC01603</t>
  </si>
  <si>
    <t>Струбцина быстрозажимная 63х450 мм INGCO HQBC01603 INDUSTRIAL</t>
  </si>
  <si>
    <t>HQBC18801</t>
  </si>
  <si>
    <t>Струбцина быстрозажимная 80х450 мм INGCO HQBC18801 INDUSTRIAL</t>
  </si>
  <si>
    <t>HQBC24802</t>
  </si>
  <si>
    <t>Струбцина быстрозажимная 80х600 мм INGCO HQBC24802 INDUSTRIAL</t>
  </si>
  <si>
    <t>WCP5373</t>
  </si>
  <si>
    <t>Струбцина пружинная  75 мм WADFOW WCP5373</t>
  </si>
  <si>
    <t>WCP5374</t>
  </si>
  <si>
    <t>Струбцина пружинная 100 мм WADFOW WCP5374</t>
  </si>
  <si>
    <t>HQSC0204</t>
  </si>
  <si>
    <t>Струбцина пружинная 110 мм INGCO HQSC0204</t>
  </si>
  <si>
    <t>HQSC0206</t>
  </si>
  <si>
    <t>Струбцина пружинная 150 мм INGCO HQSC0206</t>
  </si>
  <si>
    <t>WCP5376</t>
  </si>
  <si>
    <t>Струбцина пружинная 150 мм WADFOW WCP5376</t>
  </si>
  <si>
    <t>WCP5379</t>
  </si>
  <si>
    <t>Струбцина пружинная 225 мм WADFOW WCP5379</t>
  </si>
  <si>
    <t>WCZ4E21</t>
  </si>
  <si>
    <t>Струбцины быстрозажимные набор 4 шт (60х150-2шт, 35х100- 2шт) WADFOW WCZ4E21</t>
  </si>
  <si>
    <t>HGP08026</t>
  </si>
  <si>
    <t>Съемник с двумя захватами 150мм INGCO HGP08026 INDUSTRIAL</t>
  </si>
  <si>
    <t>Тиски</t>
  </si>
  <si>
    <t>WABV1540</t>
  </si>
  <si>
    <t>Тиски настольные 40 мм WADFOW WABV1540</t>
  </si>
  <si>
    <t>WBV1A02</t>
  </si>
  <si>
    <t>Тиски слесарные поворотные с наковальней  50 мм WADFOW WBV1A02</t>
  </si>
  <si>
    <t>HBV085</t>
  </si>
  <si>
    <t>Тиски слесарные поворотные с наковальней 125мм INGCO HBV085</t>
  </si>
  <si>
    <t>WBV1A08</t>
  </si>
  <si>
    <t>Тиски слесарные поворотные с наковальней 200 мм WADFOW WBV1A08</t>
  </si>
  <si>
    <t>Топоры</t>
  </si>
  <si>
    <t>WHM8166</t>
  </si>
  <si>
    <t>Топор  600 гр WADFOW WHM8166</t>
  </si>
  <si>
    <t>HAX081600</t>
  </si>
  <si>
    <t>Топор  600гр кованый фиберглассовой ручкой INGCO HAX081600</t>
  </si>
  <si>
    <t>WHM6306</t>
  </si>
  <si>
    <t>Топор  600гр фибергласовая ручка WADFOW WHM6306</t>
  </si>
  <si>
    <t>HAX081800</t>
  </si>
  <si>
    <t>Топор  800гр кованый фиберглассовой ручкой INGCO HAX081800</t>
  </si>
  <si>
    <t>WHM6308</t>
  </si>
  <si>
    <t>Топор  800гр фибергласовая ручка WADFOW WHM6308</t>
  </si>
  <si>
    <t>HAX0811000</t>
  </si>
  <si>
    <t>Топор 1000гр кованый фиберглассовой ручкой INGCO HAX0811000</t>
  </si>
  <si>
    <t>WHM6310</t>
  </si>
  <si>
    <t>Топор 1000гр фибергласовая ручка WADFOW WHM6310</t>
  </si>
  <si>
    <t>WHM6312</t>
  </si>
  <si>
    <t>Топор 1250гр с фибергласовой ручкой WADFOW WHM6312</t>
  </si>
  <si>
    <t>HAX0811250</t>
  </si>
  <si>
    <t>Топор 1250гр с фиберглассовой ручкой INGCO HAX0811250</t>
  </si>
  <si>
    <t>Шлиф материалы</t>
  </si>
  <si>
    <t>Абразивы</t>
  </si>
  <si>
    <t>WYS2501</t>
  </si>
  <si>
    <t>Камень правильный P120 200 мм WADFOW WYS2501</t>
  </si>
  <si>
    <t>WYS2502</t>
  </si>
  <si>
    <t>Камень правильный P120 230 мм WADFOW WYS2502</t>
  </si>
  <si>
    <t>WYS1501</t>
  </si>
  <si>
    <t>Камень правильный P120+P240 150 мм WADFOW WYS1501</t>
  </si>
  <si>
    <t>WYS1502</t>
  </si>
  <si>
    <t>Камень правильный P120+P240 200 мм WADFOW WYS1502</t>
  </si>
  <si>
    <t>Корщетки</t>
  </si>
  <si>
    <t>HWB02250</t>
  </si>
  <si>
    <t>Корщётка 250 мм INGCO HWB02250</t>
  </si>
  <si>
    <t>HKTWB3403</t>
  </si>
  <si>
    <t>Корщётка 3-ряд 340 мм INGCO HKTWB3403</t>
  </si>
  <si>
    <t>WBH1103</t>
  </si>
  <si>
    <t>Корщётка 4-ряд 260мм пластик WADFOW WBH1103</t>
  </si>
  <si>
    <t>HKTWB2705</t>
  </si>
  <si>
    <t>Корщётка 5-ряд 270 мм INGCO HKTWB2705</t>
  </si>
  <si>
    <t>HKTWB10306</t>
  </si>
  <si>
    <t>Набор абразивных щеток 3 шт INGCO HKTWB10306</t>
  </si>
  <si>
    <t>WB10071</t>
  </si>
  <si>
    <t>Набор кордщеток INGCO WB10071</t>
  </si>
  <si>
    <t>WCBS3235</t>
  </si>
  <si>
    <t>Набор щеток для дрели 1/4" 2 шт INGCO WCBS3235</t>
  </si>
  <si>
    <t>WCBH1235</t>
  </si>
  <si>
    <t>Набор щеток для дрели 1/4" 2шт INGCO WCBH1235</t>
  </si>
  <si>
    <t>WCBM0301</t>
  </si>
  <si>
    <t>Набор щеток для дрели 1/4" 3шт INGCO WCBM0301</t>
  </si>
  <si>
    <t>WB41005</t>
  </si>
  <si>
    <t>Щетка дисковая нейлон 100 мм INGCO WB41005</t>
  </si>
  <si>
    <t>WCBS1401</t>
  </si>
  <si>
    <t>Щетка дисковая нейлон 100 мм, 1/4,  INGCO WCBS1401</t>
  </si>
  <si>
    <t>WB11255</t>
  </si>
  <si>
    <t>Щетка дисковая, чашеобразная латунированная мягкая 125 мм INGCO WB11255 INDUSTRIAL</t>
  </si>
  <si>
    <t>WB11001</t>
  </si>
  <si>
    <t>Щетка проволочная с гайкой М14 100х0,3мм INGCO WB11001</t>
  </si>
  <si>
    <t>WB51501</t>
  </si>
  <si>
    <t>Щетка чашеобразная проволочная для дрели INGCO 150 мм WB51501*</t>
  </si>
  <si>
    <t>WB10755</t>
  </si>
  <si>
    <t>Щетка чашка по металлу  75мм/м14 INGCO WB10755 INDUSTRIAL</t>
  </si>
  <si>
    <t>WB11251</t>
  </si>
  <si>
    <t>Щетка чашка по металлу 125мм/м14 INGCO WB11251</t>
  </si>
  <si>
    <t>WB21251</t>
  </si>
  <si>
    <t>Щетка чашка по металлу 125мм/м14 INGCO WB21251</t>
  </si>
  <si>
    <t>WCE1402</t>
  </si>
  <si>
    <t>Щетка-крацовка 100 мм WADFOW WCE1402</t>
  </si>
  <si>
    <t>Круги алмазные</t>
  </si>
  <si>
    <t>DMD031152</t>
  </si>
  <si>
    <t>Круг алмазный TURBO  115*2*5*22,2 мм INGCO DMD031152</t>
  </si>
  <si>
    <t>DMD031801</t>
  </si>
  <si>
    <t>Круг алмазный TURBO 180*3*22 мм INGCO DMD031801 INDUSTRIAL</t>
  </si>
  <si>
    <t>DMD011152</t>
  </si>
  <si>
    <t>Круг алмазный сегментный 115*3*7,5*22,2 мм INGCO DMD011152</t>
  </si>
  <si>
    <t>DMD0118013</t>
  </si>
  <si>
    <t>Круг алмазный сегментный 180*7*22,2 мм INGCO DMD0118013</t>
  </si>
  <si>
    <t>DMD0123013</t>
  </si>
  <si>
    <t>Круг алмазный сегментный 230*3*7,5*22,2 мм INGCO DMD012302</t>
  </si>
  <si>
    <t>DMD021152</t>
  </si>
  <si>
    <t>Круг алмазный сплошной 115*3*5*22,2 мм INGCO DMD021152</t>
  </si>
  <si>
    <t>DMD021252M</t>
  </si>
  <si>
    <t>Круг алмазный сплошной 125 мм INGCO DMD021252M ж.банка (10/100)</t>
  </si>
  <si>
    <t>DMD021252</t>
  </si>
  <si>
    <t>Круг алмазный сплошной 125*2*5*22,2 мм INGCO DMD021252</t>
  </si>
  <si>
    <t>DMD022302M</t>
  </si>
  <si>
    <t>Круг алмазный сплошной 230 мм INGCO DMD022302M ж.банка (5)</t>
  </si>
  <si>
    <t>DMD022302</t>
  </si>
  <si>
    <t>Круг алмазный сплошной 230х*2,5*5*22,2 мм INGCO DMD022302</t>
  </si>
  <si>
    <t>Круги зачистные</t>
  </si>
  <si>
    <t>MCD30276</t>
  </si>
  <si>
    <t>Круг зачистной INGCO по металлу  76*4*10 мм MCD30276</t>
  </si>
  <si>
    <t>MGD601151</t>
  </si>
  <si>
    <t>Круг зачистной INGCO по металлу 115*6*22.2 мм  MGD601151</t>
  </si>
  <si>
    <t>MGD602301</t>
  </si>
  <si>
    <t>Круг зачистной INGCO по металлу 230*6*22  MGD602301</t>
  </si>
  <si>
    <t>SGD601251</t>
  </si>
  <si>
    <t>Шлифовальный диск по камню 125*6*22.2 мм INGCO SGD601251</t>
  </si>
  <si>
    <t>SGD602301</t>
  </si>
  <si>
    <t>Шлифовальный диск по камню 230*6*22.2 мм INGCO SGD602301</t>
  </si>
  <si>
    <t>Круги отрезные</t>
  </si>
  <si>
    <t>MCD121151</t>
  </si>
  <si>
    <t>Круг отрезной INGCO по металлу 115*1.2*22.2 мм MCD121151 (25)</t>
  </si>
  <si>
    <t>MCD301251</t>
  </si>
  <si>
    <t>Круг отрезной INGCO по металлу 125*3,0*22  MCD301251 (25/400)</t>
  </si>
  <si>
    <t>MCD162301</t>
  </si>
  <si>
    <t>Круг отрезной INGCO по металлу 230*1,6*22  MCD162301</t>
  </si>
  <si>
    <t>MCD192302</t>
  </si>
  <si>
    <t>Круг отрезной INGCO по металлу 230*1,9*22 (50) MCD192302</t>
  </si>
  <si>
    <t>MCD202302</t>
  </si>
  <si>
    <t>Круг отрезной INGCO по металлу 230*2*22 (50) MCD202302</t>
  </si>
  <si>
    <t>MCD304051</t>
  </si>
  <si>
    <t>Круг отрезной INGCO по металлу 405*3*25.4 мм MCD304051 (25)</t>
  </si>
  <si>
    <t>MCD07630</t>
  </si>
  <si>
    <t>Набор дисков по металлу 76 мм 30 шт INGCO MCD07630</t>
  </si>
  <si>
    <t>MCD303768</t>
  </si>
  <si>
    <t>Набор дисков по металлу 76 мм 5 шт INGCO MCD303768</t>
  </si>
  <si>
    <t>Круги шлифовальные</t>
  </si>
  <si>
    <t>AKTS938660</t>
  </si>
  <si>
    <t>Набор шлифлистов 60 шт INGCO AKTS938660 INDUSTRIAL</t>
  </si>
  <si>
    <t>AKTS080202</t>
  </si>
  <si>
    <t>Набор шлифлистов к реноватору )P40x4шт, P60x4шт, P80x6шт, P120x6шт)  INGCO AKTS080202 20шт</t>
  </si>
  <si>
    <t>APP0111801</t>
  </si>
  <si>
    <t>Тарелка Опорная для шлиф машинки 180 мм INGCO APP0111801</t>
  </si>
  <si>
    <t>Ленты для шлифмашин</t>
  </si>
  <si>
    <t>BSP020801</t>
  </si>
  <si>
    <t>Лента абразивная 100*610 P80 INGCO BSP020801 2шт</t>
  </si>
  <si>
    <t>Чашки алмазные</t>
  </si>
  <si>
    <t>CGW021151</t>
  </si>
  <si>
    <t>Диск двухрядный алмазный чашечный шлифовальный 115 мм INGCO CGW021151</t>
  </si>
  <si>
    <t>Штукатурный инструмент</t>
  </si>
  <si>
    <t>Гладилки</t>
  </si>
  <si>
    <t>HPTM40801</t>
  </si>
  <si>
    <t>Гладилка 400*80 мм магниева INGCO HPTM40801 нер, резиновая ручка (50)*</t>
  </si>
  <si>
    <t>Миксеры</t>
  </si>
  <si>
    <t>WXE2306</t>
  </si>
  <si>
    <t>Венчик для миксера 400х60 мм WADFOW WXE2306</t>
  </si>
  <si>
    <t>WXE1308</t>
  </si>
  <si>
    <t>Венчик для миксера 400х80 мм WADFOW WXE1308</t>
  </si>
  <si>
    <t>WXE2308</t>
  </si>
  <si>
    <t>Венчик для миксера 400х80 мм WADFOW WXE2308</t>
  </si>
  <si>
    <t>WXE2310</t>
  </si>
  <si>
    <t>Венчик для миксера 600х100 мм WADFOW WXE2310</t>
  </si>
  <si>
    <t>MP1120</t>
  </si>
  <si>
    <t>Миксер универсальный 120х600 мм INGCO MP1120 (шестигранный хвостовик)</t>
  </si>
  <si>
    <t>MP1160</t>
  </si>
  <si>
    <t>Миксер универсальный 160*600 мм INGCO MP1160 (шестигранный хвостовик)</t>
  </si>
  <si>
    <t>Правило алюминивое</t>
  </si>
  <si>
    <t>WSL6G100</t>
  </si>
  <si>
    <t>Правило алюминиевое 1,0 м WADFOW WSL6G100</t>
  </si>
  <si>
    <t>WSL6G150</t>
  </si>
  <si>
    <t>Правило алюминиевое 1,5 м WADFOW WSL6G150</t>
  </si>
  <si>
    <t>WSL6G200</t>
  </si>
  <si>
    <t>Правило алюминиевое 2,0 м WADFOW WSL6G200</t>
  </si>
  <si>
    <t>Системы выравнивания пола</t>
  </si>
  <si>
    <t>WQZ1301</t>
  </si>
  <si>
    <t>Скребок для удаления затирки 200 мм WADFOW WQZ1301</t>
  </si>
  <si>
    <t>Шпатели</t>
  </si>
  <si>
    <t>WGS1618</t>
  </si>
  <si>
    <t>Скребок (18х100мм) WADFOW WGS1618</t>
  </si>
  <si>
    <t>WGS1630</t>
  </si>
  <si>
    <t>Скребок 300 мм (18х100мм) WADFOW WGS1630</t>
  </si>
  <si>
    <t>WGS1660</t>
  </si>
  <si>
    <t>Скребок 600 мм (18х100мм) WADFOW WGS1660</t>
  </si>
  <si>
    <t>WGS1690</t>
  </si>
  <si>
    <t>Скребок 900 мм (18х100мм) WADFOW WGS1690</t>
  </si>
  <si>
    <t>Ящики для инструмента</t>
  </si>
  <si>
    <t>PBXK0302</t>
  </si>
  <si>
    <t>Набор пластиковый ящиков 3 шт INGCO PBXK0302</t>
  </si>
  <si>
    <t>WTB0303</t>
  </si>
  <si>
    <t>Пластиковый лоток 325х205х140 мм WADFOW WTB0303</t>
  </si>
  <si>
    <t>HBP01028</t>
  </si>
  <si>
    <t>Рюкзак для инструмента  INGCO HBP01028 INDUSTRIA (8)</t>
  </si>
  <si>
    <t>HRRTB2015</t>
  </si>
  <si>
    <t>Сумка для инструментов на колесах INGCO HRRTB2015 INDUSTRIAL</t>
  </si>
  <si>
    <t>HTBP04011</t>
  </si>
  <si>
    <t>Сумка поясная INGCO HTBP04011</t>
  </si>
  <si>
    <t>HTBP05021</t>
  </si>
  <si>
    <t>Сумка поясная INGCO HTBP05021</t>
  </si>
  <si>
    <t>HTBP040128</t>
  </si>
  <si>
    <t>Сумка поясная SUPER INGCO HTBP040128</t>
  </si>
  <si>
    <t>HTBP030128</t>
  </si>
  <si>
    <t>Сумка поясная для инструментов 290х190 мм INGCO HTBP030128</t>
  </si>
  <si>
    <t>HTBP020328</t>
  </si>
  <si>
    <t>Сумка поясная для инструментов INGCO HTBP020328</t>
  </si>
  <si>
    <t>HTBG281328</t>
  </si>
  <si>
    <t>Сумка-органайзер INGCO HTBG281328 (40)</t>
  </si>
  <si>
    <t>HTBG281628</t>
  </si>
  <si>
    <t>Сумка-органайзер INGCO HTBG281628 (20)</t>
  </si>
  <si>
    <t>HTBGL03</t>
  </si>
  <si>
    <t>Сумка-органайзер INGCO HTBGL03 INDUSTRIAL</t>
  </si>
  <si>
    <t>HTBGL04</t>
  </si>
  <si>
    <t>Сумка-органайзер INGCO HTBGL04 INDUSTRIAL</t>
  </si>
  <si>
    <t>WTB3313</t>
  </si>
  <si>
    <t>Ящик для инструмента 330х170х140 мм, 7 кг WADFOW WTB3313</t>
  </si>
  <si>
    <t>WTB8A33</t>
  </si>
  <si>
    <t>Ящик для инструмента 404х160х205 мм WADFOW WTB8A33</t>
  </si>
  <si>
    <t>WTB3316</t>
  </si>
  <si>
    <t>Ящик для инструмента 405х215х205 мм, 15 кг WADFOW WTB3316</t>
  </si>
  <si>
    <t>WTB8A22</t>
  </si>
  <si>
    <t>Ящик для инструмента 470х218х210 мм WADFOW WTB8A22</t>
  </si>
  <si>
    <t>WTB3319</t>
  </si>
  <si>
    <t>Ящик для инструмента 480х280х260 мм, 18 кг WADFOW WTB3319</t>
  </si>
  <si>
    <t>WTB8A12</t>
  </si>
  <si>
    <t>Ящик для инструмента 483х180х178 мм WADFOW WTB8A12</t>
  </si>
  <si>
    <t>WTB3324</t>
  </si>
  <si>
    <t>Ящик для инструмента 610х330х318 мм, 22 кг WADFOW WTB3324</t>
  </si>
  <si>
    <t>PBX1702</t>
  </si>
  <si>
    <t>Ящик для инструмента пластиковый 205*436*220 INGCO PBX1702</t>
  </si>
  <si>
    <t>PBX2002</t>
  </si>
  <si>
    <t>Ящик для инструмента пластиковый 220х436х205 мм INGCO PBX2002</t>
  </si>
  <si>
    <t>PBX2001</t>
  </si>
  <si>
    <t>Ящик для инструмента пластиковый 296х508х261 мм INGCO PBX2001</t>
  </si>
  <si>
    <t>Электроинструмент</t>
  </si>
  <si>
    <t>Аккумуляторы, наборы аккумуляторов</t>
  </si>
  <si>
    <t>FBLI1620</t>
  </si>
  <si>
    <t>Аккумулятор INGCO FBLI1620 16В Li-Ion  2 Ач  INDUSTRIAL</t>
  </si>
  <si>
    <t>FBLI20011</t>
  </si>
  <si>
    <t>Аккумулятор INGCO FBLI20011,20В, Li-Ion, 2Ah, Индикатор заряда</t>
  </si>
  <si>
    <t>FBLI20031</t>
  </si>
  <si>
    <t>Аккумулятор INGCO FBLI20031,20В, Li-Ion, 5Ah, Индикатор заряда</t>
  </si>
  <si>
    <t>FBLI2060</t>
  </si>
  <si>
    <t>Аккумулятор INGCO FBLI2060, 20В, Li-Ion, 6.0Ah, Индикатор заряда</t>
  </si>
  <si>
    <t>FBLI2075</t>
  </si>
  <si>
    <t>Аккумулятор INGCO FBLI2075, 20В, Li-Ion, 7,5Ah, Индикатор заряда</t>
  </si>
  <si>
    <t>FBLI241110</t>
  </si>
  <si>
    <t>Аккумулятор INGCO FBLI241110, 20В/20В+20В, Li-Ion, 60 Ah, ранцевый</t>
  </si>
  <si>
    <t>WLBP520</t>
  </si>
  <si>
    <t>Аккумуляторная батарея 20В 2 Ач WADFOW WLBP520</t>
  </si>
  <si>
    <t>WLBP540</t>
  </si>
  <si>
    <t>Аккумуляторная батарея 20В 4 Ач WADFOW WLBP540</t>
  </si>
  <si>
    <t>FBCPK2013</t>
  </si>
  <si>
    <t>Набор аккумуляторов + зарядное 2 АКБ 4.0 Ач Li-ion INGCO FBCPK2013 INDUSTRIAL</t>
  </si>
  <si>
    <t>FBCPK2425</t>
  </si>
  <si>
    <t>Набор аккумуляторов + зарядное 2 АКБ 5.0 Ач + З/У (FBLI2003+FCLI2034E) INGCO FBCPK2425 INDUSTRIAL</t>
  </si>
  <si>
    <t>FBCPK2513</t>
  </si>
  <si>
    <t>Набор аккумуляторов + зарядное 2 АКБ 5.0 Ач 20В  INGCO FBCPK2513 INDUSTRIAL</t>
  </si>
  <si>
    <t>COSLI230701</t>
  </si>
  <si>
    <t>Набор аккумуляторов + зарядное 4 АКБ 2.0 Ач, 2 АКБ 4.0 Ач, З/У кейс INGCO COSLI230701 INDUSTRIAL</t>
  </si>
  <si>
    <t>AB6038</t>
  </si>
  <si>
    <t>Воздуходувка - пылесос, сетевая 600 Вт, 12000 об/мин, INGCO AB6038 INDUSTRIAL</t>
  </si>
  <si>
    <t>CABLI168082</t>
  </si>
  <si>
    <t>Воздуходувка аккум. Li-ion 16.0B, 13000 об/мин INGCO CABLI168082 2 х 2.0Ah, З/У INDUSTRIAL</t>
  </si>
  <si>
    <t>CABLI20428</t>
  </si>
  <si>
    <t>Воздуходувка аккум. Li-ion 20.0B 18500 об/мин INGCO CABLI20428 без АКБ и З/У INDUSTRIAL</t>
  </si>
  <si>
    <t>CABLI2078</t>
  </si>
  <si>
    <t>Воздуходувка аккум. Li-ion 20.0B 2,7 м3/мин 20В INGCO CABLI2078</t>
  </si>
  <si>
    <t>WBLP5521</t>
  </si>
  <si>
    <t>Воздуходувка аккум. Li-ion 20.0B 2.7 м3/мин WADFOW WBLP5521</t>
  </si>
  <si>
    <t>WBLP521</t>
  </si>
  <si>
    <t>Воздуходувка аккум. Li-ion 20.0B 8.5 м3/мин WADFOW WBLP521</t>
  </si>
  <si>
    <t>CABLI20323</t>
  </si>
  <si>
    <t>Воздуходувка аккум. Li-ion 20.0B, 18500 об/мин INGCO CABLI20323 без АКБ и З/У INDUSTRIAL</t>
  </si>
  <si>
    <t>AB8038</t>
  </si>
  <si>
    <t>Воздуходувка сетевая 800 Вт, 15000 об/мин, INGCO AB8038 INDUSTRIAL</t>
  </si>
  <si>
    <t>Запчасти INGCO</t>
  </si>
  <si>
    <t>CBSLI20127-SP-73</t>
  </si>
  <si>
    <t>Большая шайба CBSLI20127-SP-73</t>
  </si>
  <si>
    <t>RH1600388-SP-21</t>
  </si>
  <si>
    <t>Бумажная прокладка RH1600388-SP-21</t>
  </si>
  <si>
    <t>AG24008-SP-45/48/49</t>
  </si>
  <si>
    <t>Выключатель AG24008-SP-45/48/49</t>
  </si>
  <si>
    <t>DWS10501-SP-9</t>
  </si>
  <si>
    <t>Выключатель DWS10501-SP-9</t>
  </si>
  <si>
    <t>PDB13008-SP-22</t>
  </si>
  <si>
    <t>Забойник PDB13008-SP-22</t>
  </si>
  <si>
    <t>RH150068-SP-31</t>
  </si>
  <si>
    <t>Забойник RH150068-SP-31</t>
  </si>
  <si>
    <t>CGSLI20128-SP-51</t>
  </si>
  <si>
    <t>Контроллер CGSLI20128-SP-51</t>
  </si>
  <si>
    <t>CIWLI2001-SP-10</t>
  </si>
  <si>
    <t>Контроллер CIWLI2001-SP-10</t>
  </si>
  <si>
    <t>CRHLI202289-SP-93</t>
  </si>
  <si>
    <t>Контроллер CRHLI202289-SP-93</t>
  </si>
  <si>
    <t>CRHLI20228-SP-77/78</t>
  </si>
  <si>
    <t>Контроллер CRHLI20228-SP-77/78</t>
  </si>
  <si>
    <t>CRHLI2201-SP-78/79/81</t>
  </si>
  <si>
    <t>Контроллер CRHLI2201-SP-78/79/81</t>
  </si>
  <si>
    <t>DWS10501-SP-5</t>
  </si>
  <si>
    <t>Контроллер скорости DWS10501-SP-5</t>
  </si>
  <si>
    <t>VC24751-SP-6</t>
  </si>
  <si>
    <t>Корпус HEPA фильтра VC24751-SP-6</t>
  </si>
  <si>
    <t>AG220018-SP-41/45</t>
  </si>
  <si>
    <t>Левая и правая ручки AG220018-SP-41/45</t>
  </si>
  <si>
    <t>CIDLI20608-SP-2</t>
  </si>
  <si>
    <t>Мотор в сборе CIDLI20608-SP-2</t>
  </si>
  <si>
    <t>RGH9528-2-SP-24</t>
  </si>
  <si>
    <t>Передний корпус RGH9528-2-SP-24</t>
  </si>
  <si>
    <t>AG220018-SP-10</t>
  </si>
  <si>
    <t>Передняя крышка AG220018-SP-10</t>
  </si>
  <si>
    <t>CGTLI20018-SP-7</t>
  </si>
  <si>
    <t>Переключатель CGTLI20018-SP-7</t>
  </si>
  <si>
    <t>CMLI2001-SP-28</t>
  </si>
  <si>
    <t>Печатная плата CMLI2001-SP-28</t>
  </si>
  <si>
    <t>CAGLI2011582-SP-11/12</t>
  </si>
  <si>
    <t>Плата защиты для УШМ CAGLI2011582-SP-11/12</t>
  </si>
  <si>
    <t>CRHLI1601-SP-32</t>
  </si>
  <si>
    <t>Подшипник стержня маятника CRHLI1601-SP-32</t>
  </si>
  <si>
    <t>CRHLI1601-SP-23</t>
  </si>
  <si>
    <t>Поршень CRHLI1601-SP-23</t>
  </si>
  <si>
    <t>PDB13008-SP-25</t>
  </si>
  <si>
    <t>Поршень PDB13008-SP-25</t>
  </si>
  <si>
    <t>MX218008-SP-68</t>
  </si>
  <si>
    <t>Регулятор оборотов MX218008-SP-68</t>
  </si>
  <si>
    <t>CDLI20051-SP-3</t>
  </si>
  <si>
    <t>Редуктор CDLI20051-SP-3 (CDLI12325, CDLI20051, CDLI20025,CDLI12208, CDLI12328)</t>
  </si>
  <si>
    <t>CIWLI20208-SP-2</t>
  </si>
  <si>
    <t>Редуктор CIWLI20208-SP-2</t>
  </si>
  <si>
    <t>AG130018-SP-25</t>
  </si>
  <si>
    <t>Ротор AG130018-SP-25</t>
  </si>
  <si>
    <t>AG23508-SP-33</t>
  </si>
  <si>
    <t>Ротор AG23508-SP-33</t>
  </si>
  <si>
    <t>BMS14007-SP-64</t>
  </si>
  <si>
    <t>Ротор BMS14007-SP-64</t>
  </si>
  <si>
    <t>CIWLI2001-SP-5</t>
  </si>
  <si>
    <t>Ротор CIWLI2001-SP-5</t>
  </si>
  <si>
    <t>CRHLI20228-SP-70</t>
  </si>
  <si>
    <t>Ротор CRHLI20228-SP-70</t>
  </si>
  <si>
    <t>DWS10501-SP-68</t>
  </si>
  <si>
    <t>Ротор DWS10501-SP-68</t>
  </si>
  <si>
    <t>RGH9528-2-SP-77</t>
  </si>
  <si>
    <t>Ротор RGH9528-2-SP-77</t>
  </si>
  <si>
    <t>RS12001-SP-37</t>
  </si>
  <si>
    <t>Ротор RS12001-SP-37</t>
  </si>
  <si>
    <t>TS15007-SP-139</t>
  </si>
  <si>
    <t>Ротор TS15007-SP-139</t>
  </si>
  <si>
    <t>TS26005-SP-135</t>
  </si>
  <si>
    <t>Ротор TS26005-SP-135</t>
  </si>
  <si>
    <t>CIWLI20208-SP-3</t>
  </si>
  <si>
    <t>Ротор с шестерней CIWLI20208-SP-3</t>
  </si>
  <si>
    <t>CRHLI1601-SP-49</t>
  </si>
  <si>
    <t>Ручка переключения режимов CRHLI1601-SP-49</t>
  </si>
  <si>
    <t>CRHLI202289-SP-24</t>
  </si>
  <si>
    <t>Сальник 30*41*7 CRHLI202289-SP-24</t>
  </si>
  <si>
    <t>CDLI20508-SP-2</t>
  </si>
  <si>
    <t>Сверлильный патрон CDLI20508-SP-2</t>
  </si>
  <si>
    <t>CIDLI20508-SP-2</t>
  </si>
  <si>
    <t>Сверлильный патрон CIDLI20508-SP-2</t>
  </si>
  <si>
    <t>RGH9528-2-SP-100</t>
  </si>
  <si>
    <t>Селектор режима RGH9528-2-SP-100</t>
  </si>
  <si>
    <t>CBSLI20127-SP-72</t>
  </si>
  <si>
    <t>Соединительная рама CBSLI20127-SP-72</t>
  </si>
  <si>
    <t>CRHLI202289-SP-42</t>
  </si>
  <si>
    <t>Стальное стопорное кольцо φ28x1.5 CRHLI202289-SP-42</t>
  </si>
  <si>
    <t>GCS5261011-SP-73-83</t>
  </si>
  <si>
    <t>Стартер  GCS5261011-SP-73-83</t>
  </si>
  <si>
    <t>AG110038-SP-33</t>
  </si>
  <si>
    <t>Статор AG110038-SP-33</t>
  </si>
  <si>
    <t>AG130018-SP-37</t>
  </si>
  <si>
    <t>Статор AG130018-SP-37</t>
  </si>
  <si>
    <t>CRHLI20228-SP-71</t>
  </si>
  <si>
    <t>Статор CRHLI20228-SP-71</t>
  </si>
  <si>
    <t>RS12001-SP-32</t>
  </si>
  <si>
    <t>Статор RS12001-SP-32</t>
  </si>
  <si>
    <t>TS15007-SP-141</t>
  </si>
  <si>
    <t>Статор TS15007-SP-141</t>
  </si>
  <si>
    <t>TS26005-SP-137</t>
  </si>
  <si>
    <t>Статор TS26005-SP-137</t>
  </si>
  <si>
    <t>CIWLI20208-SP-4</t>
  </si>
  <si>
    <t>Статор с контроллером CIWLI20208-SP-4</t>
  </si>
  <si>
    <t>CAGLI20157-SP-9</t>
  </si>
  <si>
    <t>Тяговый стержень CAGLI20157-SP-9</t>
  </si>
  <si>
    <t>CBSLI20127-SP-70</t>
  </si>
  <si>
    <t>Угловая рама CBSLI20127-SP-70</t>
  </si>
  <si>
    <t>RH120068-SP-16</t>
  </si>
  <si>
    <t>Функциональная ручка RH120068-SP-16</t>
  </si>
  <si>
    <t>CRHLI20228-SP-46</t>
  </si>
  <si>
    <t>Цилиндр CRHLI20228-SP-46</t>
  </si>
  <si>
    <t>PDB13008-SP-26/27</t>
  </si>
  <si>
    <t>Шатун PDB13008-SP-26/27</t>
  </si>
  <si>
    <t>CRHLI20228-SP-32</t>
  </si>
  <si>
    <t>Шестерня 40 зубьев CRHLI20228-SP-32</t>
  </si>
  <si>
    <t>AG26008-SP-14/24</t>
  </si>
  <si>
    <t>Шестерня AG26008-SP-14/24, AG24008-SP-15/25, AG30008-SP-15/25</t>
  </si>
  <si>
    <t>APLI2002-SP-18</t>
  </si>
  <si>
    <t>Шестерня APLI2002-SP-18</t>
  </si>
  <si>
    <t>TS15007-SP-124</t>
  </si>
  <si>
    <t>Шестерня TS15007-SP-124</t>
  </si>
  <si>
    <t>CIRLI2028-SP-10</t>
  </si>
  <si>
    <t>Шпиндель CIRLI2028-SP-10</t>
  </si>
  <si>
    <t>CMLI2001-SP-15-20</t>
  </si>
  <si>
    <t>Шпиндель в сборе CMLI2001-SP-15-20</t>
  </si>
  <si>
    <t>AG110028-SP-38</t>
  </si>
  <si>
    <t>Щетки угольные AG110028-SP-38</t>
  </si>
  <si>
    <t>Зарядные устройства, кабель</t>
  </si>
  <si>
    <t>FCLI1613</t>
  </si>
  <si>
    <t>Зарядное устройство 16В INGCO FCLI1613 INDUSTRIAL</t>
  </si>
  <si>
    <t>WFCP518</t>
  </si>
  <si>
    <t>Зарядное устройство 20В 1.8А WADFOW WFCP518</t>
  </si>
  <si>
    <t>FCLI20411</t>
  </si>
  <si>
    <t>Зарядное устройство INGCO FCLI20411,20В, для 2Ah. 4Ah. 5Ah</t>
  </si>
  <si>
    <t>FCLI2082</t>
  </si>
  <si>
    <t>Зарядное устройство INGCO на 2*20В АКБ. 4A+4A. FCLI2082 , для 2Ah, 4Ah, 5Ah</t>
  </si>
  <si>
    <t>WBY1A151</t>
  </si>
  <si>
    <t>Зарядное устройство для аккумуляторов 12/24В 15А WADFOW WBY1A151</t>
  </si>
  <si>
    <t>WBY1A201</t>
  </si>
  <si>
    <t>Зарядное устройство для аккумуляторов 12/24В 20А/10А WADFOW WBY1A201</t>
  </si>
  <si>
    <t>ING-CB1501</t>
  </si>
  <si>
    <t>Зарядное устройство для аккумуляторов 40-90Ач, 6/12 вольт INGCO ING-CB1501</t>
  </si>
  <si>
    <t>WBY15041</t>
  </si>
  <si>
    <t>Зарядное устройство для аккумуляторов 6/12В 2/4А WADFOW WBY15041</t>
  </si>
  <si>
    <t>IUCC02</t>
  </si>
  <si>
    <t>Кабель Type-C - Type-C INGCO IUCC02 (для CDLI12328, CDLI12428)</t>
  </si>
  <si>
    <t>WBY1A50</t>
  </si>
  <si>
    <t>Пуско-зарядное устройство инверторное 12/24В 300А WADFOW WBY1A50</t>
  </si>
  <si>
    <t>Краскопульты</t>
  </si>
  <si>
    <t>CSGLI20042</t>
  </si>
  <si>
    <t>Краскопульт аккумуляторный INGCO 20В, 2.0 Ah, емкость 0,8л, макс вяз. 120 DIN CSGLI20042</t>
  </si>
  <si>
    <t>CSGLI2004</t>
  </si>
  <si>
    <t>Краскопульт аккумуляторный INGCO 20В, емкость 0,8л, макс вяз. 120 DI CSGLI2004 без АКБ и З/У</t>
  </si>
  <si>
    <t>SPG3508</t>
  </si>
  <si>
    <t>Краскопульт электрический INGCO 450Вт, емкость 0,8л, макс вяз. 120 DIN SPG3508 (4)</t>
  </si>
  <si>
    <t>SPG5008</t>
  </si>
  <si>
    <t>Краскопульт электрический INGCO 550Вт, емкость 0,8л, макс вяз. 120 DIN SPG5008 INDUSTRIAL (4)</t>
  </si>
  <si>
    <t>WEG1A01</t>
  </si>
  <si>
    <t>Краскопульт электрический WADFOW 450Вт, емкость 0,8л, макс вяз. 100 DIN WEG1A01 (4)</t>
  </si>
  <si>
    <t>Лобзики, нейлеры</t>
  </si>
  <si>
    <t>ANA12018</t>
  </si>
  <si>
    <t>Гвозди для нейлера 18 мм 1200 шт INGCO ANA12018 (ST18)</t>
  </si>
  <si>
    <t>ANA18356</t>
  </si>
  <si>
    <t>Гвозди для нейлера 35 мм INGCO ANA18356 INDUSTRIAL (GA18)</t>
  </si>
  <si>
    <t>ANA18506</t>
  </si>
  <si>
    <t>Гвозди для нейлера 50 мм INGCO ANA18506 INDUSTRIAL (GA18)</t>
  </si>
  <si>
    <t>JS57028</t>
  </si>
  <si>
    <t>Лобзик INGCO 570Вт 800-3000 об/мин маятниковый ход INDUSTRIAL JS57028 (6)</t>
  </si>
  <si>
    <t>WJS15401</t>
  </si>
  <si>
    <t>Лобзик WADFOW 400Вт 800-3000 об/мин WJS15401</t>
  </si>
  <si>
    <t>CSTLI3805</t>
  </si>
  <si>
    <t>Нейлер аккумуляторный  18мм 20 В SUPER INGCO Без АКБ и З/У CSTLI3805 INDUSTRIAL тип гвоздей ST18</t>
  </si>
  <si>
    <t>CBNLI2005</t>
  </si>
  <si>
    <t>Нейлер аккумуляторный  F15-F35 20 В INGCO Без АКБ и З/У CBNLI2005 INDUSTRIAL тип гвоздей GA18</t>
  </si>
  <si>
    <t>CBNLI3505</t>
  </si>
  <si>
    <t>Нейлер аккумуляторный  F15-F35 20 В INGCO Без АКБ и З/У CBNLI3505 INDUSTRIAL тип гвоздей GA18</t>
  </si>
  <si>
    <t>CBNLI3603</t>
  </si>
  <si>
    <t>Нейлер аккумуляторный 10-35мм 20 В SUPER INGCO Без АКБ и З/У CBNLI3603 INDUSTRIAL тип гвоздей GA23</t>
  </si>
  <si>
    <t>ANA06825</t>
  </si>
  <si>
    <t>Шпильки для нейлера 23 GA 25 мм 10000 шт INGCO ANA06825 INDUSTRIAL (для CBNLI3603)</t>
  </si>
  <si>
    <t>Мойки</t>
  </si>
  <si>
    <t>HPWR15028</t>
  </si>
  <si>
    <t>Мойка INGCO HPWR15028  1500 Вт 100 бар 360 л/час.</t>
  </si>
  <si>
    <t>Наборы аккумуляторного инструмента</t>
  </si>
  <si>
    <t>COSLI240788</t>
  </si>
  <si>
    <t>Набор аккумуляторных пил (CGSLI2068/CGSLI20128) 20B. 2 АКБ 5.0А, З/У. SUPER INGCO COSLI240788</t>
  </si>
  <si>
    <t>COSLI240866</t>
  </si>
  <si>
    <t>Набор нейлер F15-F35 + дисковая пила 185 мм. 20В, BL. Li-Ion SUPER INGCO COSLI240866 INDUSTRIAL</t>
  </si>
  <si>
    <t>COSLI250101</t>
  </si>
  <si>
    <t>Набор шуруповерт 60Hm + нивелир3D + дальномер 100м, 16В, 2 АКБ 2.0 Ah. INGCO COSLI250101</t>
  </si>
  <si>
    <t>CKLI1638</t>
  </si>
  <si>
    <t>Набор шуруповерт 60Нм + блендер + миксер 16В, 2 АКБ 2.0 Ah. З/У, CKLI1638 SUPER INGCO INDUSTRIAL.</t>
  </si>
  <si>
    <t>CKLI1628</t>
  </si>
  <si>
    <t>Набор шуруповерт 60Нм + блендер 16В, 2 АКБ 2.0 Ah. З/У, CKLI1628 SUPER INGCO INDUSTRIAL.</t>
  </si>
  <si>
    <t>WCK20273</t>
  </si>
  <si>
    <t>Набор шуруповерт 62Nm + УШМ 115мм, 20в BL, Li-Ion WADFOW WCK20273</t>
  </si>
  <si>
    <t>CKLI20275</t>
  </si>
  <si>
    <t>Набор шуруповерт 66Nm + гайковерт 400Nm 20В, BL. Li-Ion SUPER INGCO CKLI20275 INDUSTRIAL</t>
  </si>
  <si>
    <t>COSLI241198</t>
  </si>
  <si>
    <t>Набор шуруповерт 66Nm + УШМ 115мм, перфоратор Б/Щ, 2*4Ah. ЗУ, кейс INGCO COSLI241198 INDUSTRIAL</t>
  </si>
  <si>
    <t>Новинка!</t>
  </si>
  <si>
    <t>29.01.2026</t>
  </si>
  <si>
    <t>CKLI20273</t>
  </si>
  <si>
    <t>Набор шуруповерт 66Нм + УШМ 115мм, 20в BL, Li-Ion SUPER INGCO CKLI20273 INDUSTRIAL</t>
  </si>
  <si>
    <t>Отбойные молотки</t>
  </si>
  <si>
    <t>PDB130018</t>
  </si>
  <si>
    <t>Отбойный молоток 1300Вт HEX 20Дж кейс SUPER INGCO PDB130018 INDUSTRIAL</t>
  </si>
  <si>
    <t>PDB15006</t>
  </si>
  <si>
    <t>Отбойный молоток 1500Вт SDS-Max 20Дж кейс INGCO PDB15006 INDUSTRIAL</t>
  </si>
  <si>
    <t>PDB17008</t>
  </si>
  <si>
    <t>Отбойный молоток 1700Вт HEX 45Дж INGCO PDB17008 INDUSTRIAL</t>
  </si>
  <si>
    <t>PDB170068</t>
  </si>
  <si>
    <t>Отбойный молоток 1700Вт HEX 50Дж INGCO PDB170068 INDUSTRIAL</t>
  </si>
  <si>
    <t>Перфораторы, дрели</t>
  </si>
  <si>
    <t>ED55038</t>
  </si>
  <si>
    <t>Дрель безударная INGCO ED55038  550Вт. 0-3300об/мин. патрон до 10мм (6) INDUSTRIAL</t>
  </si>
  <si>
    <t>WMD15651</t>
  </si>
  <si>
    <t>Дрель ударная 650 Вт, 13 мм WADFOW WMD15651</t>
  </si>
  <si>
    <t>ID8108</t>
  </si>
  <si>
    <t>Дрель ударная INGCO  810Вт. 0-2800об/мин. (6) ID8108</t>
  </si>
  <si>
    <t>ID11008</t>
  </si>
  <si>
    <t>Дрель ударная INGCO 1100Вт. 0-2800об/мин. INDUSTRIAL(6) ID11008</t>
  </si>
  <si>
    <t>MXLI2001</t>
  </si>
  <si>
    <t>Миксер аккумуляторный MXLI2001 INGCO Industrial 20В без АКБ и З/У (4)</t>
  </si>
  <si>
    <t>MX11008</t>
  </si>
  <si>
    <t>Миксер электрический INGCO 1100Вт (4) MX11008</t>
  </si>
  <si>
    <t>MX214008</t>
  </si>
  <si>
    <t>Миксер электрический INGCO Industrial 1400Вт MX214008 (4)</t>
  </si>
  <si>
    <t>MX218008</t>
  </si>
  <si>
    <t>Миксер электрический INGCO Industrial 1800Вт (4) MX218008</t>
  </si>
  <si>
    <t>KC1001</t>
  </si>
  <si>
    <t>Патрон для дрели с ключом 0.8-10 мм INGCO KC1001</t>
  </si>
  <si>
    <t>KC1301</t>
  </si>
  <si>
    <t>Патрон для дрели с ключом 1,5-13 мм INGCO KC1301</t>
  </si>
  <si>
    <t>KC1601</t>
  </si>
  <si>
    <t>Патрон для дрели с ключом 3-16 мм INGCO KC1601</t>
  </si>
  <si>
    <t>RGH9528</t>
  </si>
  <si>
    <t>Перфоратор INGCO  950Вт. 1050 об/мин 4670уд/мин 2,5 Дж (2) RGH9528 INDUSTRIAL</t>
  </si>
  <si>
    <t>RH10506</t>
  </si>
  <si>
    <t>Перфоратор INGCO 1050Вт. 900 об/мин 4000уд/мин 4,5 Дж (2) RH10506</t>
  </si>
  <si>
    <t>RH150068</t>
  </si>
  <si>
    <t>Перфоратор INGCO 1500Вт.0-1100 об/мин 5.5 Дж SDS+ INDUSTRIAL(2)RH150068</t>
  </si>
  <si>
    <t>RH150028</t>
  </si>
  <si>
    <t>Перфоратор INGCO 1500Вт.0-850 об/мин 5.5 Дж SDS+ INDUSTRIAL RH150028</t>
  </si>
  <si>
    <t>RH1600388</t>
  </si>
  <si>
    <t>Перфоратор INGCO 1600Вт 0-650 об/мин, 10 дж SDS-Max  RH1600388 INDUSTRIAL</t>
  </si>
  <si>
    <t>RH18008</t>
  </si>
  <si>
    <t>Перфоратор INGCO 1800Вт.0-1100 об/мин 7Дж SDS+ INDUSTRIAL(2) RH18008</t>
  </si>
  <si>
    <t>CRHLI20268</t>
  </si>
  <si>
    <t>Перфоратор INGCO аккумуляторный 20В 2,5 Дж, б/щ  БЕЗ АКБ и З/У  CRHLI20268 INDUSTRIAL</t>
  </si>
  <si>
    <t>WRH1D26</t>
  </si>
  <si>
    <t>Перфоратор WADFOW  800Вт. 1000 об/мин 4000уд/мин 2,5 Дж WADFOW WRH1D26</t>
  </si>
  <si>
    <t>CRHLI16168</t>
  </si>
  <si>
    <t>Перфоратор аккум бесщет. SUPER INGCO CRHLI16168.  16Вт. 1.8Дж 2хАКБ 2Ач и ЗУ</t>
  </si>
  <si>
    <t>CRHLI1601</t>
  </si>
  <si>
    <t>Перфоратор аккумуляторный INGCO CRHLI16 20Вт. без АБК, без З/У 0-900 об/мин 0-5100уд/мин 1,5 Дж (2)</t>
  </si>
  <si>
    <t>WLM1B162</t>
  </si>
  <si>
    <t>Перфоратор аккумуляторный WADFOW WLM1B162  20Вт. 2.0 Ah. З/У 0-850 об/мин 0-5100уд/мин 1,5 Дж</t>
  </si>
  <si>
    <t>CRHLI20288</t>
  </si>
  <si>
    <t>Перфоратор аккумуляторный бесщеточный INGCO CRHLI20288  20В без АКБ и З/У  INDUSTRIAL</t>
  </si>
  <si>
    <t>WADS2543</t>
  </si>
  <si>
    <t>Стойка для дрели 125 мм WADFOW WADS2543</t>
  </si>
  <si>
    <t>Пилы дисковые</t>
  </si>
  <si>
    <t>COS243558</t>
  </si>
  <si>
    <t>Пила монтажная  INGCO COS243558 2400Вт 355*25.4mm</t>
  </si>
  <si>
    <t>BM2S24007</t>
  </si>
  <si>
    <t>Пила торцовочная INGCO BM2S24007 2400Вт 305*30мм</t>
  </si>
  <si>
    <t>BMS14007</t>
  </si>
  <si>
    <t>Пила торцовочная INGCO BMS14007 1400Вт. диск 210*25,4мм</t>
  </si>
  <si>
    <t>BMS18002</t>
  </si>
  <si>
    <t>Пила торцовочная INGCO BMS18002 1800Вт 255*30мм</t>
  </si>
  <si>
    <t>BMS18007</t>
  </si>
  <si>
    <t>Пила торцовочная INGCO BMS18007 1800Вт 255*30мм</t>
  </si>
  <si>
    <t>MT2S18002</t>
  </si>
  <si>
    <t>Пила торцовочная INGCO MT2S18002 1800Вт 305*30мм</t>
  </si>
  <si>
    <t>CS18578</t>
  </si>
  <si>
    <t>Пила циркулярная INGCO 1200Вт, 5000 об/мин, диск 185мм  CS18578 INDUSTRIAL (4)</t>
  </si>
  <si>
    <t>CS18538</t>
  </si>
  <si>
    <t>Пила циркулярная INGCO 1400Вт, 4800 об/мин, диск 185мм INDUSTRIAL (4)</t>
  </si>
  <si>
    <t>CS18568</t>
  </si>
  <si>
    <t>Пила циркулярная INGCO 1600Вт, 5000 об/мин, диск 185мм INDUSTRIAL (4)</t>
  </si>
  <si>
    <t>CS23522</t>
  </si>
  <si>
    <t>Пила циркулярная INGCO 2200Вт, 3800 об/мин, диск 235мм CS23522 INDUSTRIAL (4)</t>
  </si>
  <si>
    <t>CS2358</t>
  </si>
  <si>
    <t>Пила циркулярная INGCO 2200Вт, 3800 об/мин, диск 235мм CS2358 INDUSTRIAL (4)</t>
  </si>
  <si>
    <t>CSLI1402</t>
  </si>
  <si>
    <t>Пила циркулярная INGCO CSLI1402 аккумуляторная, бесщеточная,  20В,без АКБ и З/У 140 мм</t>
  </si>
  <si>
    <t>CSLI14021</t>
  </si>
  <si>
    <t>Пила циркулярная INGCO CSLI14021 аккумуляторная, безщеточная 20В, 4.0Ач, З/У, 140 мм</t>
  </si>
  <si>
    <t>CSLI1652</t>
  </si>
  <si>
    <t>Пила циркулярная INGCO CSLI1652, аккумуляторная 20В, без АКБ 4600 об/мин, диск 165мм INDUSTRIAL (4)</t>
  </si>
  <si>
    <t>CSLI1851</t>
  </si>
  <si>
    <t>Пила циркулярная INGCO CSLI1851, аккумуляторная 20В, без АКБ 4800 об/мин, диск 185ммINDUSTRIAL (4)</t>
  </si>
  <si>
    <t>CSLI18513</t>
  </si>
  <si>
    <t>Пила циркулярная INGCO CSLI18513 аккумуляторная 20В 5,0 Ач, З/У, 4800 об/мин, диск185мм, INDUSTRIAL.</t>
  </si>
  <si>
    <t>WCW1512001</t>
  </si>
  <si>
    <t>Пила циркулярная WADFOW 1200Вт, 5300 об/мин, диск 185мм  WCW1512001</t>
  </si>
  <si>
    <t>WLWP5633</t>
  </si>
  <si>
    <t>Пила циркулярная WADFOW WLWP5633 аккумуляторная, безщеточная 20В, 4.0Ач, З/У, 140 мм</t>
  </si>
  <si>
    <t>Пилы электрические</t>
  </si>
  <si>
    <t>RS7508</t>
  </si>
  <si>
    <t>Пила сабельная 750 Вт, 900-3300 об/мин INGCO RS7508</t>
  </si>
  <si>
    <t>RS12001</t>
  </si>
  <si>
    <t>Пила сабельная INGCO 1200Вт 1000-2800 об/мин RS12001</t>
  </si>
  <si>
    <t>CRSLI6508</t>
  </si>
  <si>
    <t>Пила сабельная аккумуляторная 20 В SUPER INGCO CRSLI6508 без АКБ и З/У</t>
  </si>
  <si>
    <t>CGSLI2085</t>
  </si>
  <si>
    <t>Пила цепная аккумуляторная 20B. без АКБ и З/У. SUPER INGCO CGSLI2085</t>
  </si>
  <si>
    <t>CGSLI20581</t>
  </si>
  <si>
    <t>Пила цепная аккумуляторная 20B. мини, 1 АКБ 2Ah, З/У. INGCO CGSLI20581</t>
  </si>
  <si>
    <t>WCLP556</t>
  </si>
  <si>
    <t>Пила цепная аккумуляторная 20B. мини, 1 АКБ 2Ah, З/У. WADFOW WCLP556</t>
  </si>
  <si>
    <t>CGSLI20128</t>
  </si>
  <si>
    <t>Пила цепная аккумуляторная Бесщеточная 20B. без АКБ и ЗУ  INGCO CGSLI20128 шаг38, паз1.3, звеньев 44</t>
  </si>
  <si>
    <t>CGSLI40168</t>
  </si>
  <si>
    <t>Пила цепная аккумуляторная Бесщеточная 40B. без АКБ и ЗУ INGCO CGSLI40168 шаг 3/8, паз1.1, звеньев56</t>
  </si>
  <si>
    <t>WCSA1522</t>
  </si>
  <si>
    <t>Пила электрическая2200 Вт  7800  об/мин WADFOW WCSA1522</t>
  </si>
  <si>
    <t>AGSC50501</t>
  </si>
  <si>
    <t>Цепь пильная  5" INGCO AGSC50501 (1/4"; 32 звена) для CGSLI2058/CGSLI20581/UCGSLI20581</t>
  </si>
  <si>
    <t>AGSC50601</t>
  </si>
  <si>
    <t>Цепь пильная  6" INGCO AGSC50601</t>
  </si>
  <si>
    <t>AGSC50801</t>
  </si>
  <si>
    <t>Цепь пильная  8" INGCO AGSC50801</t>
  </si>
  <si>
    <t>AGSB50501</t>
  </si>
  <si>
    <t>Шина  5", шаг 1/4 , паз 1.1, звеньев 32 INGCO AGSB50501 для CGSLI2058/CGSLI20581/UCGSLI20581</t>
  </si>
  <si>
    <t>AGSB51201</t>
  </si>
  <si>
    <t>Шина 12" шаг 3/8, паз 1.3, звеньев 44 INGCO AGSB51201 (CGSLI2001 CGSLI20128 CGSLI201286 UCGSLI201286</t>
  </si>
  <si>
    <t>AGSB50601</t>
  </si>
  <si>
    <t>Шина для цепной пилы 6" INGCO AGSB50601</t>
  </si>
  <si>
    <t>AGSB50801</t>
  </si>
  <si>
    <t>Шина для цепной пилы 8" INGCO AGSB50801</t>
  </si>
  <si>
    <t>Пневмоинструмент и комплектующие</t>
  </si>
  <si>
    <t>AIW11223</t>
  </si>
  <si>
    <t>Гайковерт пневматический 1" INGCO AIW11223 INDUSTRIAL</t>
  </si>
  <si>
    <t>ASG1065</t>
  </si>
  <si>
    <t>Краскопульт пневматический INGCO ASG1065</t>
  </si>
  <si>
    <t>ASG2101</t>
  </si>
  <si>
    <t>Краскопульт пневматический INGCO ASG2101</t>
  </si>
  <si>
    <t>AST18251</t>
  </si>
  <si>
    <t>Скобы 18GA 1.25х1х5.7 мм для пневматического нейлера 25 мм INGCO AST18251 (2500)</t>
  </si>
  <si>
    <t>AST18401</t>
  </si>
  <si>
    <t>Скобы 18GA 1.25х1х5.7 мм для пневматического нейлера 40 мм INGCO AST18401 (2500)</t>
  </si>
  <si>
    <t>WQG1915</t>
  </si>
  <si>
    <t>Шланг для компрессора 15 м WADFOW WQG1915</t>
  </si>
  <si>
    <t>WQG1905</t>
  </si>
  <si>
    <t>Шланг для компрессора 5 м WADFOW WQG1905</t>
  </si>
  <si>
    <t>Пылесос строительный</t>
  </si>
  <si>
    <t>WVR1A10</t>
  </si>
  <si>
    <t>Пылесос 1000 Вт, 10 л WADFOW WVR1A10</t>
  </si>
  <si>
    <t>WVR1A15</t>
  </si>
  <si>
    <t>Пылесос 1200 Вт, 15 л WADFOW WVR1A15</t>
  </si>
  <si>
    <t>WVR4A20</t>
  </si>
  <si>
    <t>Пылесос 1200 Вт, 20 л WADFOW WVR4A20</t>
  </si>
  <si>
    <t>WVR4A30</t>
  </si>
  <si>
    <t>Пылесос 1200 Вт, 30 л WADFOW WVR4A30</t>
  </si>
  <si>
    <t>VC13301</t>
  </si>
  <si>
    <t>Пылесос 1300 Вт INGCO бак 30 л  VC13301</t>
  </si>
  <si>
    <t>WVR5A60</t>
  </si>
  <si>
    <t>Пылесос 2400 Вт, 60 л WADFOW WVR5A60</t>
  </si>
  <si>
    <t>WVR5A90</t>
  </si>
  <si>
    <t>Пылесос 3600 Вт, 90 л WADFOW WVR5A90</t>
  </si>
  <si>
    <t>VC14122</t>
  </si>
  <si>
    <t>Пылесос 800 Вт INGCO бак 12 л  VC14122</t>
  </si>
  <si>
    <t>WQV1A20</t>
  </si>
  <si>
    <t>Пылесос аккумуляторный 20В, 20 л WADFOW WQV1A20</t>
  </si>
  <si>
    <t>VCRG30261</t>
  </si>
  <si>
    <t>Робот-пылесос 1000 Па INGCO VCRG30261</t>
  </si>
  <si>
    <t>VCRR30201</t>
  </si>
  <si>
    <t>Робот-пылесос 800 Па INGCO VCRR30201</t>
  </si>
  <si>
    <t>Сварочное оборудование</t>
  </si>
  <si>
    <t>Аппараты для сварки пластиковых труб и комплектующие</t>
  </si>
  <si>
    <t>WWM1L15</t>
  </si>
  <si>
    <t>Аппарат для сварки пластиковых труб 800 Вт WADFOW WWM1L15</t>
  </si>
  <si>
    <t>PTWT215002</t>
  </si>
  <si>
    <t>Аппарат для сварки пластиковых труб INGCO 1500 Вт 6 метал. кейс PTWT215002</t>
  </si>
  <si>
    <t>Комплектующие для электросварки</t>
  </si>
  <si>
    <t>WEH1A02</t>
  </si>
  <si>
    <t>Держатель электродов 200 А, 200 мм WADFOW WEH1A02</t>
  </si>
  <si>
    <t>WEH1A08</t>
  </si>
  <si>
    <t>Держатель электродов 800 А, 285 мм WADFOW WEH1A08</t>
  </si>
  <si>
    <t>WAH3008</t>
  </si>
  <si>
    <t>Электрододержатель 300 А INGCO WAH3008</t>
  </si>
  <si>
    <t>WEH1A03</t>
  </si>
  <si>
    <t>Электрододержатель 300А, 230 мм WADFOW WEH1A03</t>
  </si>
  <si>
    <t>WAH5008</t>
  </si>
  <si>
    <t>Электрододержатель 500А INGCO WAH5008</t>
  </si>
  <si>
    <t>WEH1A06</t>
  </si>
  <si>
    <t>Электрододержатель 600А, 250 мм WADFOW WEH1A06</t>
  </si>
  <si>
    <t>Краги</t>
  </si>
  <si>
    <t>HGVW03</t>
  </si>
  <si>
    <t>Краги спилковые 14" INGCO HGVW03 (48) ЧЕСТНЫЙ ЗНАК</t>
  </si>
  <si>
    <t>HGVG01</t>
  </si>
  <si>
    <t>Краги спилковые 16" INGCO HGVG01 (96).</t>
  </si>
  <si>
    <t>HGVW04</t>
  </si>
  <si>
    <t>Краги спилковые 16" INGCO HGVW04 (36) ЧЕСТНЫЙ ЗНАК</t>
  </si>
  <si>
    <t>HGVC01</t>
  </si>
  <si>
    <t>Перчатки спилковые комбинированные 10,5" INGCO HGVC01 (72) ЧЕСТНЫЙ ЗНАК.</t>
  </si>
  <si>
    <t>HGVC02</t>
  </si>
  <si>
    <t>Перчатки спилковые сварочные 10" INGCO HGVC02 (72) ЧЕСТНЫЙ ЗНАК.</t>
  </si>
  <si>
    <t>Уголки магнитные</t>
  </si>
  <si>
    <t>WMC4601</t>
  </si>
  <si>
    <t>Магнитный держатель для сварки  2 шт WADFOW WMC4601</t>
  </si>
  <si>
    <t>WMC1603</t>
  </si>
  <si>
    <t>Магнитный держатель для сварки 11 кг WADFOW WMC1603</t>
  </si>
  <si>
    <t>WMC2603</t>
  </si>
  <si>
    <t>Магнитный держатель для сварки 11 кг WADFOW WMC2603</t>
  </si>
  <si>
    <t>WMC1604</t>
  </si>
  <si>
    <t>Магнитный держатель для сварки 22 кг WADFOW WMC1604</t>
  </si>
  <si>
    <t>WMC2604</t>
  </si>
  <si>
    <t>Магнитный держатель для сварки 22 кг WADFOW WMC2604</t>
  </si>
  <si>
    <t>WMC1605</t>
  </si>
  <si>
    <t>Магнитный держатель для сварки 34 кг WADFOW WMC1605</t>
  </si>
  <si>
    <t>WMC2605</t>
  </si>
  <si>
    <t>Магнитный держатель для сварки 34 кг WADFOW WMC2605</t>
  </si>
  <si>
    <t>Электроды</t>
  </si>
  <si>
    <t>ERCVC2121</t>
  </si>
  <si>
    <t>Электроды ОК-46.00 д.2,5мм 350 мм (5кг) INGCO ERCVC2121 (Е6013) (1)</t>
  </si>
  <si>
    <t>Секаторы, кусторезы</t>
  </si>
  <si>
    <t>CSSLI162582</t>
  </si>
  <si>
    <t>Аккумуляторный секатор 16B Li-Ion INGCO CSSLI162582  INDUSTRIAL кейс</t>
  </si>
  <si>
    <t>CSSLI203083</t>
  </si>
  <si>
    <t>Аккумуляторный секатор 20B Li-Ion INGCO CSSLI203083  INDUSTRIAL кейс</t>
  </si>
  <si>
    <t>CSSLI202581</t>
  </si>
  <si>
    <t>Аккумуляторный секатор 20B Li-Ion АКБ 2.0Ач, З/У, кейс INGCO CSSLI202581 INDUSTRIAL</t>
  </si>
  <si>
    <t>CSSLI2001</t>
  </si>
  <si>
    <t>Аккумуляторный секатор 20B Li-Ion Без АКБ и З/У INGCO CSSLI2001 INDUSTRIAL кейс.</t>
  </si>
  <si>
    <t>CSSLI20258</t>
  </si>
  <si>
    <t>Аккумуляторный секатор 20B Li-Ion Без АКБ и З/У INGCO CSSLI20258 INDUSTRIAL</t>
  </si>
  <si>
    <t>Станок точильный</t>
  </si>
  <si>
    <t>WBG1A1501</t>
  </si>
  <si>
    <t>Станок точильный WADFOW 200 Вт WBG1A1501, 2900 об/мин, диск 150 мм</t>
  </si>
  <si>
    <t>УШМ, Реноваторы</t>
  </si>
  <si>
    <t>AKTMT2301</t>
  </si>
  <si>
    <t>Набор насадок для реноватора 23 шт INGCO AKTMT2301 INDUSTRIAL</t>
  </si>
  <si>
    <t>WMA9417</t>
  </si>
  <si>
    <t>Набор оснастки для реноватора 22 шт WADFOW WMA9417</t>
  </si>
  <si>
    <t>SG11008</t>
  </si>
  <si>
    <t>Прямая шлифовальная машина 1100 Вт 150 мм INGCO SG11008 INDUSTRIAL</t>
  </si>
  <si>
    <t>MF3008</t>
  </si>
  <si>
    <t>Реноватор INGCO 300Вт, 20000 колебаний мин MF3008</t>
  </si>
  <si>
    <t>CMLI16222</t>
  </si>
  <si>
    <t>Реноватор INGCO CMLI16222 аккумуляторный 16В  INDUSTRIAL</t>
  </si>
  <si>
    <t>WASC1251</t>
  </si>
  <si>
    <t>Стойка для ушм 100-125 мм WADFOW WASC1251</t>
  </si>
  <si>
    <t>CAGLI76012</t>
  </si>
  <si>
    <t>УШМ INGCO  d76мм аккумуляторная 20В, АКБ 2.0, З/У, кейс, SUPER. INDUSTRIAL CAGLI76012</t>
  </si>
  <si>
    <t>AG9608</t>
  </si>
  <si>
    <t>УШМ INGCO d115мм  960 Вт 12000 об/мин INDUSTRIAL AG9608</t>
  </si>
  <si>
    <t>CAGLI27153</t>
  </si>
  <si>
    <t>УШМ INGCO d115мм 3000-9000 об/мин, 1000W Б/Щ, аккумуляторн 20В, без акб и з/у INDUSTRIAL CAGLI27153</t>
  </si>
  <si>
    <t>AG900285</t>
  </si>
  <si>
    <t>УШМ INGCO d125мм  900 Вт 11000 об/мин. рег. оборот, INDUSTRIAL (10) AG900285</t>
  </si>
  <si>
    <t>AG90028</t>
  </si>
  <si>
    <t>УШМ INGCO d125мм  900 Вт 12000 об/мин.  INDUSTRIAL (10) AG90028</t>
  </si>
  <si>
    <t>AG110028</t>
  </si>
  <si>
    <t>УШМ INGCO d125мм 1100 Вт 12000 об/мин INDUSTRIAL (10) AG110028</t>
  </si>
  <si>
    <t>AG110038</t>
  </si>
  <si>
    <t>УШМ INGCO d125мм 1100 Вт 12000 об/мин INDUSTRIAL (10) AG110038</t>
  </si>
  <si>
    <t>AG1100385</t>
  </si>
  <si>
    <t>УШМ INGCO d125мм 1100 Вт 12000 об/мин. регулеровка об INDUSTRIAL (10) AG1100385</t>
  </si>
  <si>
    <t>AG150028</t>
  </si>
  <si>
    <t>УШМ INGCO d125мм 1500 Вт 11000 об/мин INDUSTRIAL(10) AG150028</t>
  </si>
  <si>
    <t>CAGLI221253</t>
  </si>
  <si>
    <t>УШМ INGCO d125мм 3000/6000/9000 об/мин.БЩ 1200W. аккумуляторная 20В, без АКБ, INDUSTRIAL CAGLI221253</t>
  </si>
  <si>
    <t>AG220018</t>
  </si>
  <si>
    <t>УШМ INGCO d230мм 2200 Вт 6600 об/мин INDUSTRIAL AG220018</t>
  </si>
  <si>
    <t>WAG15761</t>
  </si>
  <si>
    <t>УШМ WADFOW d115мм 710 Вт 12000 об/мин WAG15761</t>
  </si>
  <si>
    <t>WLAP5421</t>
  </si>
  <si>
    <t>УШМ WADFOW d115мм 9000 об/мин 850W Б/Щ аккумуляторная 20В, АКБ 4.0Ah, З/У WLAP5421</t>
  </si>
  <si>
    <t>WAG15851</t>
  </si>
  <si>
    <t>УШМ WADFOW d125мм 850 Вт 12000 об/мин WAG15851</t>
  </si>
  <si>
    <t>WAG852001</t>
  </si>
  <si>
    <t>УШМ WADFOW d230мм 2000 Вт 6500 об/мин WAG852001</t>
  </si>
  <si>
    <t>WLC30001</t>
  </si>
  <si>
    <t>Штроборез  INGCO d130мм 3000 Вт 6500 об/мин, помпа,  WLC30001 INDUSTRIAL</t>
  </si>
  <si>
    <t>Фены технические</t>
  </si>
  <si>
    <t>HG200058</t>
  </si>
  <si>
    <t>Фен технический INGCO HG200058 набор 4 предмета, 2000 Вт, LCD дисплей, t 50 - 550 INDUSTRIAL</t>
  </si>
  <si>
    <t>HG2000581</t>
  </si>
  <si>
    <t>Фен технический INGCO HG2000581 набор 7 предметов, 2000 Вт, LCD дисплей t 50 - 600 INDUSTRIAL</t>
  </si>
  <si>
    <t>WHG1516</t>
  </si>
  <si>
    <t>Фен технический WADFOW WHG1516 1600 Вт, t 300-550</t>
  </si>
  <si>
    <t>HGLI20025</t>
  </si>
  <si>
    <t>Фен технический аккумуляторный INGCO HGLI20025 20В,  2 режима, t 300-550  АКБ 4 Ач, ЗУ, кейс</t>
  </si>
  <si>
    <t>HGLI2003</t>
  </si>
  <si>
    <t>Фен технический аккумуляторный INGCO HGLI2003 20В, t 300-550  Без АКБ и З/У INDUSTRIAL</t>
  </si>
  <si>
    <t>HGLI20035</t>
  </si>
  <si>
    <t>Фен технический аккумуляторный INGCO HGLI20035 20В, t 300-550 АКБ 4Ah, З/У INDUSTRIAL</t>
  </si>
  <si>
    <t>Фрезеры, Рубанки</t>
  </si>
  <si>
    <t>AKRT1221</t>
  </si>
  <si>
    <t>Набор фрез 12 шт 12 мм INGCO AKRT1221</t>
  </si>
  <si>
    <t>AKRT1201</t>
  </si>
  <si>
    <t>Набор фрез 12 шт 6 мм INGCO AKRT1201</t>
  </si>
  <si>
    <t>AKRT1211</t>
  </si>
  <si>
    <t>Набор фрез 12 шт 8 мм INGCO AKRT1211</t>
  </si>
  <si>
    <t>AKRT24122</t>
  </si>
  <si>
    <t>Набор фрез 24 шт 12 мм INGCO AKRT24122 INDUSTRIAL</t>
  </si>
  <si>
    <t>AKRT24062</t>
  </si>
  <si>
    <t>Набор фрез 24 шт 6 мм INGCO AKRT24062 INDUSTRIAL</t>
  </si>
  <si>
    <t>AKRT24082</t>
  </si>
  <si>
    <t>Набор фрез 24 шт 8 мм INGCO AKRT24082 INDUSTRIAL</t>
  </si>
  <si>
    <t>EPB820301</t>
  </si>
  <si>
    <t>Нож для рубанка 82*29*3.0mm сталь HSS INGCO EPB820301 (2шт) для PL7508</t>
  </si>
  <si>
    <t>EPB820121</t>
  </si>
  <si>
    <t>Нож для рубанка 82*5.5*1.2мм сталь HSS INGCO EPB820121 (2шт) для PL10508</t>
  </si>
  <si>
    <t>CRLI20401</t>
  </si>
  <si>
    <t>Рубанок аккумуляторный 20В б/щ INGCO CRLI20401 INDUSTRIAL</t>
  </si>
  <si>
    <t>WEP155501</t>
  </si>
  <si>
    <t>Рубанок электрический 550 Вт WADFOW WEP155501</t>
  </si>
  <si>
    <t>PL10508</t>
  </si>
  <si>
    <t>Рубанок электро INGCO 1050 Вт, 16000 об/мин,  ширина строгания 82мм, INDUSTRIAL(6)</t>
  </si>
  <si>
    <t>PL5508</t>
  </si>
  <si>
    <t>Рубанок электро INGCO 550 Вт, 16000об/мин, ширина строгания 82мм PL5508 INDUSTRIAL</t>
  </si>
  <si>
    <t>PL7508</t>
  </si>
  <si>
    <t>Рубанок электро INGCO 750Вт, 17000 об/мин, ширина стогания 82мм,  PL7508 INDUSTRIAL(6)</t>
  </si>
  <si>
    <t>RT160028</t>
  </si>
  <si>
    <t>Фрезер INGCO 1600 Вт 0-22000 об/мин, патрон цанки 6,8,12мм,  RT160028 INDUSTRIAL</t>
  </si>
  <si>
    <t>Шлифовальные и полировочные машины</t>
  </si>
  <si>
    <t>CTVLI20015</t>
  </si>
  <si>
    <t>Виброприсоска для укладки плитки аккумуляторная 20В 1хАКБ 2Ач и ЗУ INGCO CTVLI20015 (6)</t>
  </si>
  <si>
    <t>CTVLI20018</t>
  </si>
  <si>
    <t>Виброприсоска для укладки плитки аккумуляторная 20В 60 кг INGCO CTVLI20018 INDUSTRIAL</t>
  </si>
  <si>
    <t>CTVLI2001</t>
  </si>
  <si>
    <t>Виброприсоска для укладки плитки аккумуляторная 20В 60 кг без АКБ и З/У INGCO CTVLI2001 INDUSTRIAL</t>
  </si>
  <si>
    <t>MG13328</t>
  </si>
  <si>
    <t>Гравер электрический INGCO 130 Вт, 10000-32000 об.мин,   MG13328</t>
  </si>
  <si>
    <t>MG133281</t>
  </si>
  <si>
    <t>Гравер электрический INGCO 130 Вт, 10000-32000 об.мин, оснастки 252 предмета  MG133281</t>
  </si>
  <si>
    <t>MG2008</t>
  </si>
  <si>
    <t>Гравер электрический INGCO 200 Вт, 10000-40000 об.мин, аксессуары 149 шт ЖК дисплей MG2008</t>
  </si>
  <si>
    <t>PDG5501</t>
  </si>
  <si>
    <t>Гравер электрический INGCO 550 Вт, 15000-29000 об.мин, 3 шарошки  PDG5501</t>
  </si>
  <si>
    <t>APLI2015</t>
  </si>
  <si>
    <t>Машина полировальная аккумуляторная INGCO APLI2015, 150 мм, 20В б/щ, без АКБ и З/У  INDUSTRIAL</t>
  </si>
  <si>
    <t>APLI2018</t>
  </si>
  <si>
    <t>Машина полировальная аккумуляторная INGCO APLI2018 20В б/щ, без АКБ и З/У, 180мм</t>
  </si>
  <si>
    <t>APLI20181</t>
  </si>
  <si>
    <t>Машина полировальная аккумуляторная INGCO APLI20181 20В б/щ, 1 АКБ 4.0Ah. 180мм</t>
  </si>
  <si>
    <t>AKB1012</t>
  </si>
  <si>
    <t>Набор остнастки гравера INGCO 10 предмета AKB1012</t>
  </si>
  <si>
    <t>CPSLI2014</t>
  </si>
  <si>
    <t>Шлифмашина вибрационная INGCO CPSLI2014 аккумуляторная 20В, без АКБ и З/У  INDUSTRIAL</t>
  </si>
  <si>
    <t>PS2416</t>
  </si>
  <si>
    <t>Шлифмашина вибрационная INGCO PS2416 240 Вт, 14000 об/мин INDUSTRIAL</t>
  </si>
  <si>
    <t>RS4516</t>
  </si>
  <si>
    <t>Эксцентриковая шлифовальная машина 450Вт 150мм рег.обор. SUPER INGCO RS4516 INDUSTRIAL</t>
  </si>
  <si>
    <t>Шуруповерты, отвертки аккумуляторные</t>
  </si>
  <si>
    <t>CIRLI16178</t>
  </si>
  <si>
    <t>Винтоверт INGCO CIRLI16178 импульсный Li-lon 16.0В, 2 АКБ 2.0 Ач, 170 Нм, кейс</t>
  </si>
  <si>
    <t>CIWLI20135</t>
  </si>
  <si>
    <t>Гайковерт INGCO CIWLI20135 бесщеточный ударный Li-ion 20.0В. 2АКБ 5.0Ah 1350/1900 Нм INDUSTRIAL</t>
  </si>
  <si>
    <t>CIWLI201351</t>
  </si>
  <si>
    <t>Гайковерт INGCO CIWLI201351 бесщеточный ударный Li-ion 20.0В. тушка 1350/1900 Нм INDUSTRIA.</t>
  </si>
  <si>
    <t>CIWLI2040</t>
  </si>
  <si>
    <t>Гайковерт INGCO CIWLI2040  бесщеточный ударный Li-ion 20.0B, 2 АКБ 2.0, 400/550 Нм  INDUSTRIAL</t>
  </si>
  <si>
    <t>CIWLI20851</t>
  </si>
  <si>
    <t>Гайковерт INGCO CIWLI20851  бесщеточный ударный Li-ion 20.0B, тушка 850/1000 Нм  INDUSTRIAL</t>
  </si>
  <si>
    <t>CDRLI2060152</t>
  </si>
  <si>
    <t>Трещотка аккумуляторная Li-ion 20.0B 65 Нм, 3/8" 1 АКБ 2.0 Ah. INGCO CDRLI2060152</t>
  </si>
  <si>
    <t>CDRLI2060151</t>
  </si>
  <si>
    <t>Трещотка аккумуляторная Li-ion 20.0B, 3/8, 65Нм, БЕЗ АКБ и ЗУ, 3 головки INGCO CDRLI2060151</t>
  </si>
  <si>
    <t>CDLI205581</t>
  </si>
  <si>
    <t>Шуруповерт INGCO CDLI205581 бесщеточный Li-ion 20.0B, 55 Nm БЕЗ АКБ и З/У  INDUSTRIAL</t>
  </si>
  <si>
    <t>CDLI205582</t>
  </si>
  <si>
    <t>Шуруповерт INGCO CDLI205582 бесщеточный Li-ion 20.0B, 2 Ач, 55 Нм, 1 акб,   INDUSTRIAL</t>
  </si>
  <si>
    <t>CDLI20668</t>
  </si>
  <si>
    <t>Шуруповерт INGCO CDLI20668 бесщеточный Li-ion 20.0В, 2Ач, 66 Нм, 2акб, кейс  INDUSTRIAL</t>
  </si>
  <si>
    <t>CDLI206681</t>
  </si>
  <si>
    <t>Шуруповерт INGCO CDLI206681 бесщеточный Li-ion 20.0B, 66 Nm БЕЗ АКБ и З/У  INDUSTRIAL.</t>
  </si>
  <si>
    <t>CIDLI16682</t>
  </si>
  <si>
    <t>Шуруповерт INGCO CIDLI16682 ударный бесщеточный Li-ion 16.0В 60 Нм 2 Ач, 2 АКБ, кейс INDUSTRIAL</t>
  </si>
  <si>
    <t>CIDLI20558</t>
  </si>
  <si>
    <t>Шуруповерт INGCO CIDLI20558 ударный бесщеточный Li-ion 20.0B, 2 Ач, 55 Нм, 2 акб, INDUSTRIAL</t>
  </si>
  <si>
    <t>CIDLI20668</t>
  </si>
  <si>
    <t>Шуруповерт INGCO CIDLI20668 ударный бесщеточный Li-Ion 20.0В, 2.0 Ah. 2 АКБ 66 Нм  INDUSTRIAL</t>
  </si>
  <si>
    <t>CIDLI206681</t>
  </si>
  <si>
    <t>Шуруповерт INGCO CIDLI206681 ударный бесщеточный Li-Ion 20.0В, без АКБ и З/У, 66 Нм  INDUSTRIAL</t>
  </si>
  <si>
    <t>CIDLI20868</t>
  </si>
  <si>
    <t>Шуруповерт INGCO CIDLI20868 ударный бесщеточный Li-ion 20.0B, 86 Nm, 2АКБ - 4.0+2.0Ah  INDUSTRIAL.</t>
  </si>
  <si>
    <t>CIDLI20968</t>
  </si>
  <si>
    <t>Шуруповерт INGCO CIDLI20968 ударный бесщеточный Li-ion 20.0B 2 АКБ 4.0 Ah З/У  96 Нм  INDUSTRIAL</t>
  </si>
  <si>
    <t>CIDLI209681</t>
  </si>
  <si>
    <t>Шуруповерт INGCO CIDLI209681 ударный бесщеточный Li-ion 20.0B без АКБ и  З/У  96 Нм  INDUSTRIAL</t>
  </si>
  <si>
    <t>COSLI240786</t>
  </si>
  <si>
    <t>Шуруповерт INGCO COSLI240786 бесщеточный Li-ion 16.0В. 60 Нм 2 Ач, 2 АКБ, набор щеток, INDUSTRIAL.</t>
  </si>
  <si>
    <t>COSLI241199</t>
  </si>
  <si>
    <t>Шуруповерт INGCO COSLI241199 ударный бесщеточный Li-ion 16.0B, 60 Нм, + оснастка  INDUSTRIAL.</t>
  </si>
  <si>
    <t>WCDP5282</t>
  </si>
  <si>
    <t>Шуруповерт WADFOW WCDP5282 ударный бесщеточный Li-ion 20.0B 2 Ач, 52 Нм, 1 акб</t>
  </si>
  <si>
    <t>Электротриммеры, газонокосилки</t>
  </si>
  <si>
    <t>LMLI4020</t>
  </si>
  <si>
    <t>Аккумуляторная газонокосилка, 40В(20В+20В) 510мм,БЕЗ АКБ и ЗУ,метал дека, INGCO LMLI4020 INDUSTRIAL</t>
  </si>
  <si>
    <t>LMLI20185</t>
  </si>
  <si>
    <t>Аккумуляторная газонокосилка, 40В(20В+20В)460мм,БЕЗ АКБ и ЗУ,метал дека, INGCO LMLI20185 INDUSTRIAL.</t>
  </si>
  <si>
    <t>CGTLI20018-SP-S.T.L</t>
  </si>
  <si>
    <t>Крышка катушки тиммера INGCO CGTLI20018-SP-S.T.L</t>
  </si>
  <si>
    <t>ALS1602</t>
  </si>
  <si>
    <t>Леска для триммера 1.6 мм 4 шт INGCO ALS1602 INDUSTRIAL</t>
  </si>
  <si>
    <t>Климатическая техника</t>
  </si>
  <si>
    <t>Пушки тепловые</t>
  </si>
  <si>
    <t>WHTP1A05</t>
  </si>
  <si>
    <t>Пушка тепловая WADFOW 5кВт 48м2 WHTP1A05</t>
  </si>
  <si>
    <t>Крепёж, скобяные изделия</t>
  </si>
  <si>
    <t>Крепёж</t>
  </si>
  <si>
    <t>Специализированный крепёж</t>
  </si>
  <si>
    <t>Крепеж специализированный коробка</t>
  </si>
  <si>
    <t>WQL2K02</t>
  </si>
  <si>
    <t>Набор карабинов 50 мм, 4 шт WADFOW WQL2K02</t>
  </si>
  <si>
    <t>WQL2K03</t>
  </si>
  <si>
    <t>Набор карабинов 60 мм, 2 шт WADFOW WQL2K03</t>
  </si>
  <si>
    <t>WQL2K04</t>
  </si>
  <si>
    <t>Набор карабинов 80 мм, 2 шт WADFOW WQL2K04</t>
  </si>
  <si>
    <t>Скобяные изделия</t>
  </si>
  <si>
    <t>Замки навесные</t>
  </si>
  <si>
    <t>WPD5530</t>
  </si>
  <si>
    <t>Замок навесной 32 мм WADFOW WPD5530</t>
  </si>
  <si>
    <t>WPD5540</t>
  </si>
  <si>
    <t>Замок навесной 38 мм WADFOW WPD5540</t>
  </si>
  <si>
    <t>WPD5550</t>
  </si>
  <si>
    <t>Замок навесной 50 мм WADFOW WPD5550</t>
  </si>
  <si>
    <t>WPD5575</t>
  </si>
  <si>
    <t>Замок навесной 75 мм WADFOW WPD5575</t>
  </si>
  <si>
    <t>WPD9470</t>
  </si>
  <si>
    <t>Замок навесной всепогодный 70 мм WADFOW WPD9470</t>
  </si>
  <si>
    <t>WPD3423</t>
  </si>
  <si>
    <t>Замок навесной кодовый 3х20 мм WADFOW WPD3423</t>
  </si>
  <si>
    <t>WPD3433</t>
  </si>
  <si>
    <t>Замок навесной кодовый 3х30 мм WADFOW WPD3433</t>
  </si>
  <si>
    <t>WPD3444</t>
  </si>
  <si>
    <t>Замок навесной кодовый 4х40 мм WADFOW WPD3444</t>
  </si>
  <si>
    <t>DBPL0202</t>
  </si>
  <si>
    <t>Замок навесной латунный 20мм. DBPL0202 INGCO</t>
  </si>
  <si>
    <t>DBPL0302</t>
  </si>
  <si>
    <t>Замок навесной латунный 30мм. DBPL0302 INGCO</t>
  </si>
  <si>
    <t>DBPL0402</t>
  </si>
  <si>
    <t>Замок навесной латунный 40мм. DBPL0402 INGCO</t>
  </si>
  <si>
    <t>DBPL0502</t>
  </si>
  <si>
    <t>Замок навесной латунный 50мм. DBPL0502 INGCO</t>
  </si>
  <si>
    <t>DBPL0602</t>
  </si>
  <si>
    <t>Замок навесной латунный 60мм. DBPL0602 INGCO</t>
  </si>
  <si>
    <t>DBPL0702</t>
  </si>
  <si>
    <t>Замок навесной латунный 70мм. DBPL0702 INGCO.*</t>
  </si>
  <si>
    <t>WPD5540L</t>
  </si>
  <si>
    <t>Замок навесной с длинной дужкой 38 мм WADFOW WPD5540L</t>
  </si>
  <si>
    <t>WPD5550L</t>
  </si>
  <si>
    <t>Замок навесной с длинной дужкой 50 мм WADFOW WPD5550L</t>
  </si>
  <si>
    <t>WPD5560L</t>
  </si>
  <si>
    <t>Замок навесной с длинной дужкой 63 мм WADFOW WPD5560L</t>
  </si>
  <si>
    <t>WPD5575L</t>
  </si>
  <si>
    <t>Замок навесной с длинной дужкой 75 мм WADFOW WPD5575L</t>
  </si>
  <si>
    <t>DIPL0401</t>
  </si>
  <si>
    <t>Замок навесной стальной 38мм. DIPL0401 INGCO</t>
  </si>
  <si>
    <t>WPD5442</t>
  </si>
  <si>
    <t>Набор замков навесных 38 мм 2 шт WADFOW WPD5442</t>
  </si>
  <si>
    <t>Уголки металлические</t>
  </si>
  <si>
    <t>WCY2K10</t>
  </si>
  <si>
    <t>Уголок мебельный 100х100 мм, 4 шт WADFOW WCY2K10</t>
  </si>
  <si>
    <t>WCY2K50</t>
  </si>
  <si>
    <t>Уголок мебельный 50х50 мм, 4 шт WADFOW WCY2K50</t>
  </si>
  <si>
    <t>WCY2K75</t>
  </si>
  <si>
    <t>Уголок мебельный 75х75 мм, 4 шт WADFOW WCY2K75</t>
  </si>
  <si>
    <t>Хомуты</t>
  </si>
  <si>
    <t>Хомут метал</t>
  </si>
  <si>
    <t>WHU3902</t>
  </si>
  <si>
    <t>Хомут червячный с барашком 10х16 мм WADFOW WHU3902 (50шт)</t>
  </si>
  <si>
    <t>WHU4901</t>
  </si>
  <si>
    <t>Хомут червячный с барашком 11х25 мм WADFOW WHU4901 (20 шт)</t>
  </si>
  <si>
    <t>WHU3903</t>
  </si>
  <si>
    <t>Хомут червячный с барашком 13х19 мм WADFOW WHU3903 (50 шт)</t>
  </si>
  <si>
    <t>WHU4902</t>
  </si>
  <si>
    <t>Хомут червячный с барашком 14х32 мм WADFOW WHU4902 (20 шт)</t>
  </si>
  <si>
    <t>WHU3904</t>
  </si>
  <si>
    <t>Хомут червячный с барашком 16х25 мм WADFOW WHU3904 (50 шт)</t>
  </si>
  <si>
    <t>WHU4903</t>
  </si>
  <si>
    <t>Хомут червячный с барашком 17х38 мм WADFOW WHU4903 (20 шт)</t>
  </si>
  <si>
    <t>WHU4904</t>
  </si>
  <si>
    <t>Хомут червячный с барашком 19х44 мм WADFOW WHU4904 (20 шт)</t>
  </si>
  <si>
    <t>WHU4905</t>
  </si>
  <si>
    <t>Хомут червячный с барашком 27х51 мм WADFOW WHU4905 (20 шт)</t>
  </si>
  <si>
    <t>WHU3901</t>
  </si>
  <si>
    <t>Хомут червячный с барашком 8х12 мм WADFOW WHU3901 (50 шт)</t>
  </si>
  <si>
    <t>Хомут нейлон</t>
  </si>
  <si>
    <t>HCT1001</t>
  </si>
  <si>
    <t>Стяжка нейлоновая 100*2,5 мм. 100 шт  INGCO HCT1001</t>
  </si>
  <si>
    <t>HCT15025</t>
  </si>
  <si>
    <t>Стяжка нейлоновая 150*2,5 мм. 100 шт  INGCO HCT15025</t>
  </si>
  <si>
    <t>HCT3002</t>
  </si>
  <si>
    <t>Стяжка нейлоновая 300*4,8 мм. 100 шт  INGCO HCT3002</t>
  </si>
  <si>
    <t>HCT8001</t>
  </si>
  <si>
    <t>Стяжка нейлоновая 800х9.0мм. HCT8001 INGCO (100шт)</t>
  </si>
  <si>
    <t>HCTB10025</t>
  </si>
  <si>
    <t>Стяжка нейлоновая черная 100*2,5 мм. 100 шт  INGCO HCTB10025</t>
  </si>
  <si>
    <t>HCTB15025</t>
  </si>
  <si>
    <t>Стяжка нейлоновая черная 150*2,5 мм. 100 шт  INGCO HCTB15025</t>
  </si>
  <si>
    <t>HCTB30048</t>
  </si>
  <si>
    <t>Стяжка нейлоновая черная 300*4,8 мм. 100 шт  INGCO HCTB30048</t>
  </si>
  <si>
    <t>HCTB35048</t>
  </si>
  <si>
    <t>Стяжка нейлоновая черная 350*4,8 мм. 100 шт  INGCO HCTB35048</t>
  </si>
  <si>
    <t>HCTB40076</t>
  </si>
  <si>
    <t>Стяжка нейлоновая черная 400*7,6 мм INGCO HCTB40076</t>
  </si>
  <si>
    <t>Промтовары</t>
  </si>
  <si>
    <t>Горелки газовые</t>
  </si>
  <si>
    <t>WFG1604</t>
  </si>
  <si>
    <t>Горелка-насадка газовая 145 мм WADFOW WFG1604</t>
  </si>
  <si>
    <t>Перчатки</t>
  </si>
  <si>
    <t>Перчатки рабочие</t>
  </si>
  <si>
    <t>HGMG01-XL</t>
  </si>
  <si>
    <t>Перчатки механика XL INGCO HGMG01-XL (12/120) ЧЕСТНЫЙ ЗНАК.</t>
  </si>
  <si>
    <t>HGNF01</t>
  </si>
  <si>
    <t>Перчатки с нитриловым матовым покрытием XL INGCO HGNF01 (12/120)</t>
  </si>
  <si>
    <t>Стремянки</t>
  </si>
  <si>
    <t>HLAD03391</t>
  </si>
  <si>
    <t>Лестница INGCO HLAD03391 выдвижная, 27 ступеней,3 секции, нагрузка 150 кг, высота 5920 мм</t>
  </si>
  <si>
    <t>HLAD09021</t>
  </si>
  <si>
    <t>Стремянка INGCO HLAD09021 стальная, 2 ступени, 150 кг</t>
  </si>
  <si>
    <t>HLAD09031</t>
  </si>
  <si>
    <t>Стремянка INGCO HLAD09031 стальная, 3 ступени, 150 кг</t>
  </si>
  <si>
    <t>HLAD09041</t>
  </si>
  <si>
    <t>Стремянка INGCO HLAD09041 стальная, 4 ступени, 150 кг</t>
  </si>
  <si>
    <t>HLAD09051</t>
  </si>
  <si>
    <t>Стремянка INGCO HLAD09051 стальная, 5 ступени, 150 кг</t>
  </si>
  <si>
    <t>HLAD09061</t>
  </si>
  <si>
    <t>Стремянка INGCO HLAD09061 стальная, 6 ступени, 150 кг</t>
  </si>
  <si>
    <t>Сад, огород</t>
  </si>
  <si>
    <t>Инвентарь ручной</t>
  </si>
  <si>
    <t>Грабли</t>
  </si>
  <si>
    <t>HGR1008</t>
  </si>
  <si>
    <t>Грабли прямые  5 зубьев 270 мм. INGCO HFTR1008 *</t>
  </si>
  <si>
    <t>Рыхлители</t>
  </si>
  <si>
    <t>HGT979K</t>
  </si>
  <si>
    <t>Рыхлитель мотыжка комбинированная 3 зуба 290 мм. INGCO HGT979K *</t>
  </si>
  <si>
    <t>Секаторы, сучкорезы, ножовки, пилы</t>
  </si>
  <si>
    <t>HLT93301</t>
  </si>
  <si>
    <t>Набор садовый (сектор, кусторез, сучкорез) HLT93301 INDUSTRIAL</t>
  </si>
  <si>
    <t>WHW6G12</t>
  </si>
  <si>
    <t>Пила выкружная 300 мм 7TPI WADFOW WHW6G12</t>
  </si>
  <si>
    <t>HPS0109</t>
  </si>
  <si>
    <t>Секатор 200 мм INGCO HPS0109 (48)</t>
  </si>
  <si>
    <t>WPA1E03</t>
  </si>
  <si>
    <t>Секатор 200 мм WADFOW WPA1E03 (48)</t>
  </si>
  <si>
    <t>HPS0308</t>
  </si>
  <si>
    <t>Секатор 205 мм INGCO HPS0308 (48)</t>
  </si>
  <si>
    <t>HPS0601</t>
  </si>
  <si>
    <t>Секатор 220 мм INGCO HPS0601 INDUSTRIAL (48)</t>
  </si>
  <si>
    <t>HLT7101</t>
  </si>
  <si>
    <t>Сучкорез 725мм INGCO HLT7101 (12)</t>
  </si>
  <si>
    <t>HLT7608</t>
  </si>
  <si>
    <t>Сучкорез 760мм INGCO HLT7608 (12)</t>
  </si>
  <si>
    <t>HLTS7608</t>
  </si>
  <si>
    <t>Сучкорез телескоп 650- 850 мм INGCO HLTS7608 (12)</t>
  </si>
  <si>
    <t>HEPS25281</t>
  </si>
  <si>
    <t>Сучкорез штанговый с пилой 2,7 м INGCO HEPS25281 (12)</t>
  </si>
  <si>
    <t>Полив</t>
  </si>
  <si>
    <t>Опрыскиватели, разбрызгиватели, насадки для полива</t>
  </si>
  <si>
    <t>HSPP30802</t>
  </si>
  <si>
    <t>Опрыскиватель  8л садовый удочка 2,5 Бар INGCO HSPP30802 (6)</t>
  </si>
  <si>
    <t>WKS1516</t>
  </si>
  <si>
    <t>Опрыскиватель 16л ранцевый 4.5 Бар WADFOW WKS1516</t>
  </si>
  <si>
    <t>WKS1520</t>
  </si>
  <si>
    <t>Опрыскиватель 20л ранцевый 4.5 Бар WADFOW WKS1520</t>
  </si>
  <si>
    <t>Переходники, муфты, соединители для полива</t>
  </si>
  <si>
    <t>HHC1402</t>
  </si>
  <si>
    <t>Распределитель четырехканальный 3/4" INGCO HHC1402 *</t>
  </si>
  <si>
    <t>Сантехника</t>
  </si>
  <si>
    <t>Полипропилен</t>
  </si>
  <si>
    <t>Полипропилен для водопровода</t>
  </si>
  <si>
    <t>Ножницы для ПВХ труб</t>
  </si>
  <si>
    <t>HPC0442</t>
  </si>
  <si>
    <t>Ножницы для резки ПВХ труб, до 3-43мм метал. корпус INGCO HPC0442 INDUSTRIAL</t>
  </si>
  <si>
    <t>Уплотнители для труб (фум лента, лен, гели, нити)</t>
  </si>
  <si>
    <t>WXP1304</t>
  </si>
  <si>
    <t>Фумлента (тефлоновая) 13мх13мм WADFOW WXP1304</t>
  </si>
  <si>
    <t>WXP1305</t>
  </si>
  <si>
    <t>Фумлента (тефлоновая) 13мх19мм WADFOW WXP1305</t>
  </si>
  <si>
    <t>WXP1306</t>
  </si>
  <si>
    <t>Фумлента (тефлоновая) 13мх24мм WADFOW WXP1306</t>
  </si>
  <si>
    <t>WXP1301</t>
  </si>
  <si>
    <t>Фумлента (тефлоновая) 7мх13мм WADFOW WXP1301</t>
  </si>
  <si>
    <t>WXP1302</t>
  </si>
  <si>
    <t>Фумлента (тефлоновая) 7мх19мм WADFOW WXP1302</t>
  </si>
  <si>
    <t>WXP1303</t>
  </si>
  <si>
    <t>Фумлента (тефлоновая) 7мх24мм WADFOW WXP1303</t>
  </si>
  <si>
    <t>Электротехнические изделия</t>
  </si>
  <si>
    <t>Монтажные изделия</t>
  </si>
  <si>
    <t>Изоляционные материалы</t>
  </si>
  <si>
    <t>WPN1011</t>
  </si>
  <si>
    <t>Изолента ПВХ 0,13х18мм желтая 20м WADFOW WPN1011</t>
  </si>
  <si>
    <t>WPN1012</t>
  </si>
  <si>
    <t>Изолента ПВХ 0,13х18мм красная 20м WADFOW WPN1012</t>
  </si>
  <si>
    <t>WPN1010</t>
  </si>
  <si>
    <t>Изолента ПВХ 0,13х18мм синяя 20м WADFOW WPN1010</t>
  </si>
  <si>
    <t>WPN1103</t>
  </si>
  <si>
    <t>Изолента ПВХ 0,13х18мм черная 15м WADFOW WPN1103</t>
  </si>
  <si>
    <t>WPN2002</t>
  </si>
  <si>
    <t>Изолента ПВХ 0,18х19 мм черная 20м WADFOW WPN2002</t>
  </si>
  <si>
    <t>WPN2001</t>
  </si>
  <si>
    <t>Изолента ПВХ 0,18х19 мм черная 20м от -18 до 105 °C WADFOW WPN2001</t>
  </si>
  <si>
    <t>WPN1101</t>
  </si>
  <si>
    <t>Изолента ПВХ 0,19х18мм черная 15м WADFOW WPN1101</t>
  </si>
  <si>
    <t>Элементы питания</t>
  </si>
  <si>
    <t>HAB2A01</t>
  </si>
  <si>
    <t>Батарейка AA Пальчиковая 1,5V LR6 алкалиновая 4 шт INGCO HAB2A01 (128/4)</t>
  </si>
  <si>
    <t>WJX2K05</t>
  </si>
  <si>
    <t>Батарейка AA Пальчиковая 1,5V LR6 алкалиновая 4 шт WADFOW WJX2K05</t>
  </si>
  <si>
    <t>WJX2K07</t>
  </si>
  <si>
    <t>Батарейка AAA Мизинчиковая 1,5V LR03 алкалиновая 4 шт WADFOW WJX2K07</t>
  </si>
  <si>
    <t>HAB3A01</t>
  </si>
  <si>
    <t>Батарейка AAA Мизинчиковая 1,5V LR03 алкалиновая INGCO HAB3A01 (300/4)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</si>
</sst>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#,##0.00\ &quot;₽&quot;"/>
  </numFmts>
  <fonts count="4" x14ac:knownFonts="1">
    <font>
      <sz val="8"/>
      <name val="Arial"/>
    </font>
    <font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FFFF99"/>
        <bgColor auto="1"/>
      </patternFill>
    </fill>
    <fill>
      <patternFill patternType="solid">
        <fgColor rgb="FFF59600"/>
        <bgColor auto="1"/>
      </patternFill>
    </fill>
    <fill>
      <patternFill patternType="solid">
        <fgColor rgb="FFCCFFFF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66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28575</xdr:rowOff>
    </xdr:from>
    <xdr:to>
      <xdr:col>4</xdr:col>
      <xdr:colOff>1514475</xdr:colOff>
      <xdr:row>2</xdr:row>
      <xdr:rowOff>85725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19050</xdr:colOff>
      <xdr:row>7</xdr:row>
      <xdr:rowOff>647700</xdr:rowOff>
    </xdr:from>
    <xdr:to>
      <xdr:col>3</xdr:col>
      <xdr:colOff>180975</xdr:colOff>
      <xdr:row>7</xdr:row>
      <xdr:rowOff>800100</xdr:rowOff>
    </xdr:to>
    <xdr:sp macro="" textlink="">
      <xdr:nvSp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</xdr:row>
      <xdr:rowOff>647700</xdr:rowOff>
    </xdr:from>
    <xdr:to>
      <xdr:col>3</xdr:col>
      <xdr:colOff>180975</xdr:colOff>
      <xdr:row>8</xdr:row>
      <xdr:rowOff>800100</xdr:rowOff>
    </xdr:to>
    <xdr:sp macro="" textlink="">
      <xdr:nvSp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</xdr:row>
      <xdr:rowOff>647700</xdr:rowOff>
    </xdr:from>
    <xdr:to>
      <xdr:col>3</xdr:col>
      <xdr:colOff>180975</xdr:colOff>
      <xdr:row>10</xdr:row>
      <xdr:rowOff>800100</xdr:rowOff>
    </xdr:to>
    <xdr:sp macro="" textlink="">
      <xdr:nvSpPr>
        <xdr:cNvPr id="8" name="Имя " descr="Descr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</xdr:row>
      <xdr:rowOff>647700</xdr:rowOff>
    </xdr:from>
    <xdr:to>
      <xdr:col>3</xdr:col>
      <xdr:colOff>180975</xdr:colOff>
      <xdr:row>11</xdr:row>
      <xdr:rowOff>800100</xdr:rowOff>
    </xdr:to>
    <xdr:sp macro="" textlink="">
      <xdr:nvSpPr>
        <xdr:cNvPr id="10" name="Имя " descr="Descr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</xdr:row>
      <xdr:rowOff>647700</xdr:rowOff>
    </xdr:from>
    <xdr:to>
      <xdr:col>3</xdr:col>
      <xdr:colOff>180975</xdr:colOff>
      <xdr:row>12</xdr:row>
      <xdr:rowOff>800100</xdr:rowOff>
    </xdr:to>
    <xdr:sp macro="" textlink="">
      <xdr:nvSpPr>
        <xdr:cNvPr id="12" name="Имя " descr="Descr 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</xdr:row>
      <xdr:rowOff>647700</xdr:rowOff>
    </xdr:from>
    <xdr:to>
      <xdr:col>3</xdr:col>
      <xdr:colOff>180975</xdr:colOff>
      <xdr:row>13</xdr:row>
      <xdr:rowOff>800100</xdr:rowOff>
    </xdr:to>
    <xdr:sp macro="" textlink="">
      <xdr:nvSpPr>
        <xdr:cNvPr id="14" name="Имя " descr="Descr 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</xdr:row>
      <xdr:rowOff>647700</xdr:rowOff>
    </xdr:from>
    <xdr:to>
      <xdr:col>3</xdr:col>
      <xdr:colOff>180975</xdr:colOff>
      <xdr:row>15</xdr:row>
      <xdr:rowOff>800100</xdr:rowOff>
    </xdr:to>
    <xdr:sp macro="" textlink="">
      <xdr:nvSpPr>
        <xdr:cNvPr id="16" name="Имя " descr="Descr 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</xdr:row>
      <xdr:rowOff>647700</xdr:rowOff>
    </xdr:from>
    <xdr:to>
      <xdr:col>3</xdr:col>
      <xdr:colOff>180975</xdr:colOff>
      <xdr:row>16</xdr:row>
      <xdr:rowOff>800100</xdr:rowOff>
    </xdr:to>
    <xdr:sp macro="" textlink="">
      <xdr:nvSpPr>
        <xdr:cNvPr id="18" name="Имя " descr="Descr 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</xdr:row>
      <xdr:rowOff>647700</xdr:rowOff>
    </xdr:from>
    <xdr:to>
      <xdr:col>3</xdr:col>
      <xdr:colOff>180975</xdr:colOff>
      <xdr:row>17</xdr:row>
      <xdr:rowOff>800100</xdr:rowOff>
    </xdr:to>
    <xdr:sp macro="" textlink="">
      <xdr:nvSpPr>
        <xdr:cNvPr id="20" name="Имя " descr="Descr 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18</xdr:row>
      <xdr:rowOff>647700</xdr:rowOff>
    </xdr:from>
    <xdr:to>
      <xdr:col>3</xdr:col>
      <xdr:colOff>180975</xdr:colOff>
      <xdr:row>18</xdr:row>
      <xdr:rowOff>800100</xdr:rowOff>
    </xdr:to>
    <xdr:sp macro="" textlink="">
      <xdr:nvSpPr>
        <xdr:cNvPr id="22" name="Имя " descr="Descr 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</xdr:row>
      <xdr:rowOff>647700</xdr:rowOff>
    </xdr:from>
    <xdr:to>
      <xdr:col>3</xdr:col>
      <xdr:colOff>180975</xdr:colOff>
      <xdr:row>19</xdr:row>
      <xdr:rowOff>800100</xdr:rowOff>
    </xdr:to>
    <xdr:sp macro="" textlink="">
      <xdr:nvSpPr>
        <xdr:cNvPr id="24" name="Имя " descr="Descr 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</xdr:row>
      <xdr:rowOff>647700</xdr:rowOff>
    </xdr:from>
    <xdr:to>
      <xdr:col>3</xdr:col>
      <xdr:colOff>180975</xdr:colOff>
      <xdr:row>21</xdr:row>
      <xdr:rowOff>800100</xdr:rowOff>
    </xdr:to>
    <xdr:sp macro="" textlink="">
      <xdr:nvSpPr>
        <xdr:cNvPr id="26" name="Имя " descr="Descr 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</xdr:row>
      <xdr:rowOff>647700</xdr:rowOff>
    </xdr:from>
    <xdr:to>
      <xdr:col>3</xdr:col>
      <xdr:colOff>180975</xdr:colOff>
      <xdr:row>22</xdr:row>
      <xdr:rowOff>800100</xdr:rowOff>
    </xdr:to>
    <xdr:sp macro="" textlink="">
      <xdr:nvSpPr>
        <xdr:cNvPr id="28" name="Имя " descr="Descr 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24</xdr:row>
      <xdr:rowOff>647700</xdr:rowOff>
    </xdr:from>
    <xdr:to>
      <xdr:col>3</xdr:col>
      <xdr:colOff>180975</xdr:colOff>
      <xdr:row>24</xdr:row>
      <xdr:rowOff>800100</xdr:rowOff>
    </xdr:to>
    <xdr:sp macro="" textlink="">
      <xdr:nvSpPr>
        <xdr:cNvPr id="30" name="Имя " descr="Descr 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</xdr:row>
      <xdr:rowOff>647700</xdr:rowOff>
    </xdr:from>
    <xdr:to>
      <xdr:col>3</xdr:col>
      <xdr:colOff>180975</xdr:colOff>
      <xdr:row>25</xdr:row>
      <xdr:rowOff>800100</xdr:rowOff>
    </xdr:to>
    <xdr:sp macro="" textlink="">
      <xdr:nvSpPr>
        <xdr:cNvPr id="32" name="Имя " descr="Descr 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</xdr:row>
      <xdr:rowOff>647700</xdr:rowOff>
    </xdr:from>
    <xdr:to>
      <xdr:col>3</xdr:col>
      <xdr:colOff>180975</xdr:colOff>
      <xdr:row>26</xdr:row>
      <xdr:rowOff>800100</xdr:rowOff>
    </xdr:to>
    <xdr:sp macro="" textlink="">
      <xdr:nvSpPr>
        <xdr:cNvPr id="34" name="Имя " descr="Descr 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</xdr:row>
      <xdr:rowOff>647700</xdr:rowOff>
    </xdr:from>
    <xdr:to>
      <xdr:col>3</xdr:col>
      <xdr:colOff>180975</xdr:colOff>
      <xdr:row>28</xdr:row>
      <xdr:rowOff>800100</xdr:rowOff>
    </xdr:to>
    <xdr:sp macro="" textlink="">
      <xdr:nvSpPr>
        <xdr:cNvPr id="36" name="Имя " descr="Descr 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29</xdr:row>
      <xdr:rowOff>647700</xdr:rowOff>
    </xdr:from>
    <xdr:to>
      <xdr:col>3</xdr:col>
      <xdr:colOff>180975</xdr:colOff>
      <xdr:row>29</xdr:row>
      <xdr:rowOff>800100</xdr:rowOff>
    </xdr:to>
    <xdr:sp macro="" textlink="">
      <xdr:nvSpPr>
        <xdr:cNvPr id="38" name="Имя " descr="Descr 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</xdr:row>
      <xdr:rowOff>647700</xdr:rowOff>
    </xdr:from>
    <xdr:to>
      <xdr:col>3</xdr:col>
      <xdr:colOff>180975</xdr:colOff>
      <xdr:row>30</xdr:row>
      <xdr:rowOff>800100</xdr:rowOff>
    </xdr:to>
    <xdr:sp macro="" textlink="">
      <xdr:nvSpPr>
        <xdr:cNvPr id="40" name="Имя " descr="Descr 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</xdr:row>
      <xdr:rowOff>647700</xdr:rowOff>
    </xdr:from>
    <xdr:to>
      <xdr:col>3</xdr:col>
      <xdr:colOff>180975</xdr:colOff>
      <xdr:row>31</xdr:row>
      <xdr:rowOff>800100</xdr:rowOff>
    </xdr:to>
    <xdr:sp macro="" textlink="">
      <xdr:nvSpPr>
        <xdr:cNvPr id="42" name="Имя " descr="Descr 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</xdr:row>
      <xdr:rowOff>647700</xdr:rowOff>
    </xdr:from>
    <xdr:to>
      <xdr:col>3</xdr:col>
      <xdr:colOff>180975</xdr:colOff>
      <xdr:row>33</xdr:row>
      <xdr:rowOff>800100</xdr:rowOff>
    </xdr:to>
    <xdr:sp macro="" textlink="">
      <xdr:nvSpPr>
        <xdr:cNvPr id="44" name="Имя " descr="Descr 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</xdr:row>
      <xdr:rowOff>647700</xdr:rowOff>
    </xdr:from>
    <xdr:to>
      <xdr:col>3</xdr:col>
      <xdr:colOff>180975</xdr:colOff>
      <xdr:row>34</xdr:row>
      <xdr:rowOff>800100</xdr:rowOff>
    </xdr:to>
    <xdr:sp macro="" textlink="">
      <xdr:nvSpPr>
        <xdr:cNvPr id="46" name="Имя " descr="Descr 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</xdr:row>
      <xdr:rowOff>647700</xdr:rowOff>
    </xdr:from>
    <xdr:to>
      <xdr:col>3</xdr:col>
      <xdr:colOff>180975</xdr:colOff>
      <xdr:row>37</xdr:row>
      <xdr:rowOff>800100</xdr:rowOff>
    </xdr:to>
    <xdr:sp macro="" textlink="">
      <xdr:nvSpPr>
        <xdr:cNvPr id="48" name="Имя " descr="Descr 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</xdr:row>
      <xdr:rowOff>647700</xdr:rowOff>
    </xdr:from>
    <xdr:to>
      <xdr:col>3</xdr:col>
      <xdr:colOff>180975</xdr:colOff>
      <xdr:row>38</xdr:row>
      <xdr:rowOff>800100</xdr:rowOff>
    </xdr:to>
    <xdr:sp macro="" textlink="">
      <xdr:nvSpPr>
        <xdr:cNvPr id="50" name="Имя " descr="Descr 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</xdr:row>
      <xdr:rowOff>647700</xdr:rowOff>
    </xdr:from>
    <xdr:to>
      <xdr:col>3</xdr:col>
      <xdr:colOff>180975</xdr:colOff>
      <xdr:row>39</xdr:row>
      <xdr:rowOff>800100</xdr:rowOff>
    </xdr:to>
    <xdr:sp macro="" textlink="">
      <xdr:nvSpPr>
        <xdr:cNvPr id="52" name="Имя " descr="Descr 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</xdr:row>
      <xdr:rowOff>647700</xdr:rowOff>
    </xdr:from>
    <xdr:to>
      <xdr:col>3</xdr:col>
      <xdr:colOff>180975</xdr:colOff>
      <xdr:row>40</xdr:row>
      <xdr:rowOff>800100</xdr:rowOff>
    </xdr:to>
    <xdr:sp macro="" textlink="">
      <xdr:nvSpPr>
        <xdr:cNvPr id="54" name="Имя " descr="Descr 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</xdr:row>
      <xdr:rowOff>647700</xdr:rowOff>
    </xdr:from>
    <xdr:to>
      <xdr:col>3</xdr:col>
      <xdr:colOff>180975</xdr:colOff>
      <xdr:row>41</xdr:row>
      <xdr:rowOff>800100</xdr:rowOff>
    </xdr:to>
    <xdr:sp macro="" textlink="">
      <xdr:nvSpPr>
        <xdr:cNvPr id="56" name="Имя " descr="Descr 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</xdr:row>
      <xdr:rowOff>647700</xdr:rowOff>
    </xdr:from>
    <xdr:to>
      <xdr:col>3</xdr:col>
      <xdr:colOff>180975</xdr:colOff>
      <xdr:row>42</xdr:row>
      <xdr:rowOff>800100</xdr:rowOff>
    </xdr:to>
    <xdr:sp macro="" textlink="">
      <xdr:nvSpPr>
        <xdr:cNvPr id="58" name="Имя " descr="Descr 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</xdr:row>
      <xdr:rowOff>647700</xdr:rowOff>
    </xdr:from>
    <xdr:to>
      <xdr:col>3</xdr:col>
      <xdr:colOff>180975</xdr:colOff>
      <xdr:row>43</xdr:row>
      <xdr:rowOff>800100</xdr:rowOff>
    </xdr:to>
    <xdr:sp macro="" textlink="">
      <xdr:nvSpPr>
        <xdr:cNvPr id="60" name="Имя " descr="Descr 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</xdr:row>
      <xdr:rowOff>647700</xdr:rowOff>
    </xdr:from>
    <xdr:to>
      <xdr:col>3</xdr:col>
      <xdr:colOff>180975</xdr:colOff>
      <xdr:row>44</xdr:row>
      <xdr:rowOff>800100</xdr:rowOff>
    </xdr:to>
    <xdr:sp macro="" textlink="">
      <xdr:nvSpPr>
        <xdr:cNvPr id="62" name="Имя " descr="Descr 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</xdr:row>
      <xdr:rowOff>647700</xdr:rowOff>
    </xdr:from>
    <xdr:to>
      <xdr:col>3</xdr:col>
      <xdr:colOff>180975</xdr:colOff>
      <xdr:row>45</xdr:row>
      <xdr:rowOff>800100</xdr:rowOff>
    </xdr:to>
    <xdr:sp macro="" textlink="">
      <xdr:nvSpPr>
        <xdr:cNvPr id="64" name="Имя " descr="Descr 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</xdr:row>
      <xdr:rowOff>647700</xdr:rowOff>
    </xdr:from>
    <xdr:to>
      <xdr:col>3</xdr:col>
      <xdr:colOff>180975</xdr:colOff>
      <xdr:row>46</xdr:row>
      <xdr:rowOff>800100</xdr:rowOff>
    </xdr:to>
    <xdr:sp macro="" textlink="">
      <xdr:nvSpPr>
        <xdr:cNvPr id="66" name="Имя " descr="Descr 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</xdr:row>
      <xdr:rowOff>647700</xdr:rowOff>
    </xdr:from>
    <xdr:to>
      <xdr:col>3</xdr:col>
      <xdr:colOff>180975</xdr:colOff>
      <xdr:row>47</xdr:row>
      <xdr:rowOff>800100</xdr:rowOff>
    </xdr:to>
    <xdr:sp macro="" textlink="">
      <xdr:nvSpPr>
        <xdr:cNvPr id="68" name="Имя " descr="Descr 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</xdr:row>
      <xdr:rowOff>647700</xdr:rowOff>
    </xdr:from>
    <xdr:to>
      <xdr:col>3</xdr:col>
      <xdr:colOff>180975</xdr:colOff>
      <xdr:row>48</xdr:row>
      <xdr:rowOff>800100</xdr:rowOff>
    </xdr:to>
    <xdr:sp macro="" textlink="">
      <xdr:nvSpPr>
        <xdr:cNvPr id="70" name="Имя " descr="Descr 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</xdr:row>
      <xdr:rowOff>647700</xdr:rowOff>
    </xdr:from>
    <xdr:to>
      <xdr:col>3</xdr:col>
      <xdr:colOff>180975</xdr:colOff>
      <xdr:row>49</xdr:row>
      <xdr:rowOff>800100</xdr:rowOff>
    </xdr:to>
    <xdr:sp macro="" textlink="">
      <xdr:nvSpPr>
        <xdr:cNvPr id="72" name="Имя " descr="Descr 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</xdr:row>
      <xdr:rowOff>647700</xdr:rowOff>
    </xdr:from>
    <xdr:to>
      <xdr:col>3</xdr:col>
      <xdr:colOff>180975</xdr:colOff>
      <xdr:row>50</xdr:row>
      <xdr:rowOff>800100</xdr:rowOff>
    </xdr:to>
    <xdr:sp macro="" textlink="">
      <xdr:nvSpPr>
        <xdr:cNvPr id="74" name="Имя " descr="Descr 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</xdr:row>
      <xdr:rowOff>647700</xdr:rowOff>
    </xdr:from>
    <xdr:to>
      <xdr:col>3</xdr:col>
      <xdr:colOff>180975</xdr:colOff>
      <xdr:row>51</xdr:row>
      <xdr:rowOff>800100</xdr:rowOff>
    </xdr:to>
    <xdr:sp macro="" textlink="">
      <xdr:nvSpPr>
        <xdr:cNvPr id="76" name="Имя " descr="Descr 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</xdr:row>
      <xdr:rowOff>647700</xdr:rowOff>
    </xdr:from>
    <xdr:to>
      <xdr:col>3</xdr:col>
      <xdr:colOff>180975</xdr:colOff>
      <xdr:row>52</xdr:row>
      <xdr:rowOff>800100</xdr:rowOff>
    </xdr:to>
    <xdr:sp macro="" textlink="">
      <xdr:nvSpPr>
        <xdr:cNvPr id="78" name="Имя " descr="Descr 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</xdr:row>
      <xdr:rowOff>647700</xdr:rowOff>
    </xdr:from>
    <xdr:to>
      <xdr:col>3</xdr:col>
      <xdr:colOff>180975</xdr:colOff>
      <xdr:row>53</xdr:row>
      <xdr:rowOff>800100</xdr:rowOff>
    </xdr:to>
    <xdr:sp macro="" textlink="">
      <xdr:nvSpPr>
        <xdr:cNvPr id="80" name="Имя " descr="Descr 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</xdr:row>
      <xdr:rowOff>647700</xdr:rowOff>
    </xdr:from>
    <xdr:to>
      <xdr:col>3</xdr:col>
      <xdr:colOff>180975</xdr:colOff>
      <xdr:row>54</xdr:row>
      <xdr:rowOff>800100</xdr:rowOff>
    </xdr:to>
    <xdr:sp macro="" textlink="">
      <xdr:nvSpPr>
        <xdr:cNvPr id="82" name="Имя " descr="Descr 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</xdr:row>
      <xdr:rowOff>647700</xdr:rowOff>
    </xdr:from>
    <xdr:to>
      <xdr:col>3</xdr:col>
      <xdr:colOff>180975</xdr:colOff>
      <xdr:row>55</xdr:row>
      <xdr:rowOff>800100</xdr:rowOff>
    </xdr:to>
    <xdr:sp macro="" textlink="">
      <xdr:nvSpPr>
        <xdr:cNvPr id="84" name="Имя " descr="Descr 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</xdr:row>
      <xdr:rowOff>647700</xdr:rowOff>
    </xdr:from>
    <xdr:to>
      <xdr:col>3</xdr:col>
      <xdr:colOff>180975</xdr:colOff>
      <xdr:row>56</xdr:row>
      <xdr:rowOff>800100</xdr:rowOff>
    </xdr:to>
    <xdr:sp macro="" textlink="">
      <xdr:nvSpPr>
        <xdr:cNvPr id="86" name="Имя " descr="Descr 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</xdr:row>
      <xdr:rowOff>647700</xdr:rowOff>
    </xdr:from>
    <xdr:to>
      <xdr:col>3</xdr:col>
      <xdr:colOff>180975</xdr:colOff>
      <xdr:row>57</xdr:row>
      <xdr:rowOff>800100</xdr:rowOff>
    </xdr:to>
    <xdr:sp macro="" textlink="">
      <xdr:nvSpPr>
        <xdr:cNvPr id="88" name="Имя " descr="Descr 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</xdr:row>
      <xdr:rowOff>647700</xdr:rowOff>
    </xdr:from>
    <xdr:to>
      <xdr:col>3</xdr:col>
      <xdr:colOff>180975</xdr:colOff>
      <xdr:row>58</xdr:row>
      <xdr:rowOff>800100</xdr:rowOff>
    </xdr:to>
    <xdr:sp macro="" textlink="">
      <xdr:nvSpPr>
        <xdr:cNvPr id="90" name="Имя " descr="Descr 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</xdr:row>
      <xdr:rowOff>647700</xdr:rowOff>
    </xdr:from>
    <xdr:to>
      <xdr:col>3</xdr:col>
      <xdr:colOff>180975</xdr:colOff>
      <xdr:row>59</xdr:row>
      <xdr:rowOff>800100</xdr:rowOff>
    </xdr:to>
    <xdr:sp macro="" textlink="">
      <xdr:nvSpPr>
        <xdr:cNvPr id="92" name="Имя " descr="Descr 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</xdr:row>
      <xdr:rowOff>647700</xdr:rowOff>
    </xdr:from>
    <xdr:to>
      <xdr:col>3</xdr:col>
      <xdr:colOff>180975</xdr:colOff>
      <xdr:row>60</xdr:row>
      <xdr:rowOff>800100</xdr:rowOff>
    </xdr:to>
    <xdr:sp macro="" textlink="">
      <xdr:nvSpPr>
        <xdr:cNvPr id="94" name="Имя " descr="Descr 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</xdr:row>
      <xdr:rowOff>647700</xdr:rowOff>
    </xdr:from>
    <xdr:to>
      <xdr:col>3</xdr:col>
      <xdr:colOff>180975</xdr:colOff>
      <xdr:row>61</xdr:row>
      <xdr:rowOff>800100</xdr:rowOff>
    </xdr:to>
    <xdr:sp macro="" textlink="">
      <xdr:nvSpPr>
        <xdr:cNvPr id="96" name="Имя " descr="Descr 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</xdr:row>
      <xdr:rowOff>647700</xdr:rowOff>
    </xdr:from>
    <xdr:to>
      <xdr:col>3</xdr:col>
      <xdr:colOff>180975</xdr:colOff>
      <xdr:row>62</xdr:row>
      <xdr:rowOff>800100</xdr:rowOff>
    </xdr:to>
    <xdr:sp macro="" textlink="">
      <xdr:nvSpPr>
        <xdr:cNvPr id="98" name="Имя " descr="Descr 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</xdr:row>
      <xdr:rowOff>647700</xdr:rowOff>
    </xdr:from>
    <xdr:to>
      <xdr:col>3</xdr:col>
      <xdr:colOff>180975</xdr:colOff>
      <xdr:row>63</xdr:row>
      <xdr:rowOff>800100</xdr:rowOff>
    </xdr:to>
    <xdr:sp macro="" textlink="">
      <xdr:nvSpPr>
        <xdr:cNvPr id="100" name="Имя " descr="Descr 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</xdr:row>
      <xdr:rowOff>647700</xdr:rowOff>
    </xdr:from>
    <xdr:to>
      <xdr:col>3</xdr:col>
      <xdr:colOff>180975</xdr:colOff>
      <xdr:row>64</xdr:row>
      <xdr:rowOff>800100</xdr:rowOff>
    </xdr:to>
    <xdr:sp macro="" textlink="">
      <xdr:nvSpPr>
        <xdr:cNvPr id="102" name="Имя " descr="Descr 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</xdr:row>
      <xdr:rowOff>647700</xdr:rowOff>
    </xdr:from>
    <xdr:to>
      <xdr:col>3</xdr:col>
      <xdr:colOff>180975</xdr:colOff>
      <xdr:row>65</xdr:row>
      <xdr:rowOff>800100</xdr:rowOff>
    </xdr:to>
    <xdr:sp macro="" textlink="">
      <xdr:nvSpPr>
        <xdr:cNvPr id="104" name="Имя " descr="Descr 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</xdr:row>
      <xdr:rowOff>647700</xdr:rowOff>
    </xdr:from>
    <xdr:to>
      <xdr:col>3</xdr:col>
      <xdr:colOff>180975</xdr:colOff>
      <xdr:row>66</xdr:row>
      <xdr:rowOff>800100</xdr:rowOff>
    </xdr:to>
    <xdr:sp macro="" textlink="">
      <xdr:nvSpPr>
        <xdr:cNvPr id="106" name="Имя " descr="Descr 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</xdr:row>
      <xdr:rowOff>647700</xdr:rowOff>
    </xdr:from>
    <xdr:to>
      <xdr:col>3</xdr:col>
      <xdr:colOff>180975</xdr:colOff>
      <xdr:row>67</xdr:row>
      <xdr:rowOff>800100</xdr:rowOff>
    </xdr:to>
    <xdr:sp macro="" textlink="">
      <xdr:nvSpPr>
        <xdr:cNvPr id="108" name="Имя " descr="Descr 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</xdr:row>
      <xdr:rowOff>647700</xdr:rowOff>
    </xdr:from>
    <xdr:to>
      <xdr:col>3</xdr:col>
      <xdr:colOff>180975</xdr:colOff>
      <xdr:row>68</xdr:row>
      <xdr:rowOff>800100</xdr:rowOff>
    </xdr:to>
    <xdr:sp macro="" textlink="">
      <xdr:nvSpPr>
        <xdr:cNvPr id="110" name="Имя " descr="Descr 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</xdr:row>
      <xdr:rowOff>647700</xdr:rowOff>
    </xdr:from>
    <xdr:to>
      <xdr:col>3</xdr:col>
      <xdr:colOff>180975</xdr:colOff>
      <xdr:row>69</xdr:row>
      <xdr:rowOff>800100</xdr:rowOff>
    </xdr:to>
    <xdr:sp macro="" textlink="">
      <xdr:nvSpPr>
        <xdr:cNvPr id="112" name="Имя " descr="Descr 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</xdr:row>
      <xdr:rowOff>647700</xdr:rowOff>
    </xdr:from>
    <xdr:to>
      <xdr:col>3</xdr:col>
      <xdr:colOff>180975</xdr:colOff>
      <xdr:row>70</xdr:row>
      <xdr:rowOff>800100</xdr:rowOff>
    </xdr:to>
    <xdr:sp macro="" textlink="">
      <xdr:nvSpPr>
        <xdr:cNvPr id="114" name="Имя " descr="Descr 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</xdr:row>
      <xdr:rowOff>647700</xdr:rowOff>
    </xdr:from>
    <xdr:to>
      <xdr:col>3</xdr:col>
      <xdr:colOff>180975</xdr:colOff>
      <xdr:row>71</xdr:row>
      <xdr:rowOff>800100</xdr:rowOff>
    </xdr:to>
    <xdr:sp macro="" textlink="">
      <xdr:nvSpPr>
        <xdr:cNvPr id="116" name="Имя " descr="Descr 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</xdr:row>
      <xdr:rowOff>647700</xdr:rowOff>
    </xdr:from>
    <xdr:to>
      <xdr:col>3</xdr:col>
      <xdr:colOff>180975</xdr:colOff>
      <xdr:row>72</xdr:row>
      <xdr:rowOff>800100</xdr:rowOff>
    </xdr:to>
    <xdr:sp macro="" textlink="">
      <xdr:nvSpPr>
        <xdr:cNvPr id="118" name="Имя " descr="Descr 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</xdr:row>
      <xdr:rowOff>647700</xdr:rowOff>
    </xdr:from>
    <xdr:to>
      <xdr:col>3</xdr:col>
      <xdr:colOff>180975</xdr:colOff>
      <xdr:row>75</xdr:row>
      <xdr:rowOff>800100</xdr:rowOff>
    </xdr:to>
    <xdr:sp macro="" textlink="">
      <xdr:nvSpPr>
        <xdr:cNvPr id="120" name="Имя " descr="Descr 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</xdr:row>
      <xdr:rowOff>647700</xdr:rowOff>
    </xdr:from>
    <xdr:to>
      <xdr:col>3</xdr:col>
      <xdr:colOff>180975</xdr:colOff>
      <xdr:row>76</xdr:row>
      <xdr:rowOff>800100</xdr:rowOff>
    </xdr:to>
    <xdr:sp macro="" textlink="">
      <xdr:nvSpPr>
        <xdr:cNvPr id="122" name="Имя " descr="Descr 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</xdr:row>
      <xdr:rowOff>647700</xdr:rowOff>
    </xdr:from>
    <xdr:to>
      <xdr:col>3</xdr:col>
      <xdr:colOff>180975</xdr:colOff>
      <xdr:row>78</xdr:row>
      <xdr:rowOff>800100</xdr:rowOff>
    </xdr:to>
    <xdr:sp macro="" textlink="">
      <xdr:nvSpPr>
        <xdr:cNvPr id="124" name="Имя " descr="Descr 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</xdr:row>
      <xdr:rowOff>647700</xdr:rowOff>
    </xdr:from>
    <xdr:to>
      <xdr:col>3</xdr:col>
      <xdr:colOff>180975</xdr:colOff>
      <xdr:row>79</xdr:row>
      <xdr:rowOff>800100</xdr:rowOff>
    </xdr:to>
    <xdr:sp macro="" textlink="">
      <xdr:nvSpPr>
        <xdr:cNvPr id="126" name="Имя " descr="Descr 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</xdr:row>
      <xdr:rowOff>647700</xdr:rowOff>
    </xdr:from>
    <xdr:to>
      <xdr:col>3</xdr:col>
      <xdr:colOff>180975</xdr:colOff>
      <xdr:row>80</xdr:row>
      <xdr:rowOff>800100</xdr:rowOff>
    </xdr:to>
    <xdr:sp macro="" textlink="">
      <xdr:nvSpPr>
        <xdr:cNvPr id="128" name="Имя " descr="Descr 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</xdr:row>
      <xdr:rowOff>647700</xdr:rowOff>
    </xdr:from>
    <xdr:to>
      <xdr:col>3</xdr:col>
      <xdr:colOff>180975</xdr:colOff>
      <xdr:row>81</xdr:row>
      <xdr:rowOff>800100</xdr:rowOff>
    </xdr:to>
    <xdr:sp macro="" textlink="">
      <xdr:nvSpPr>
        <xdr:cNvPr id="130" name="Имя " descr="Descr 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</xdr:row>
      <xdr:rowOff>647700</xdr:rowOff>
    </xdr:from>
    <xdr:to>
      <xdr:col>3</xdr:col>
      <xdr:colOff>180975</xdr:colOff>
      <xdr:row>82</xdr:row>
      <xdr:rowOff>800100</xdr:rowOff>
    </xdr:to>
    <xdr:sp macro="" textlink="">
      <xdr:nvSpPr>
        <xdr:cNvPr id="132" name="Имя " descr="Descr 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</xdr:row>
      <xdr:rowOff>647700</xdr:rowOff>
    </xdr:from>
    <xdr:to>
      <xdr:col>3</xdr:col>
      <xdr:colOff>180975</xdr:colOff>
      <xdr:row>83</xdr:row>
      <xdr:rowOff>800100</xdr:rowOff>
    </xdr:to>
    <xdr:sp macro="" textlink="">
      <xdr:nvSpPr>
        <xdr:cNvPr id="134" name="Имя " descr="Descr 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</xdr:row>
      <xdr:rowOff>647700</xdr:rowOff>
    </xdr:from>
    <xdr:to>
      <xdr:col>3</xdr:col>
      <xdr:colOff>180975</xdr:colOff>
      <xdr:row>84</xdr:row>
      <xdr:rowOff>800100</xdr:rowOff>
    </xdr:to>
    <xdr:sp macro="" textlink="">
      <xdr:nvSpPr>
        <xdr:cNvPr id="136" name="Имя " descr="Descr 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</xdr:row>
      <xdr:rowOff>647700</xdr:rowOff>
    </xdr:from>
    <xdr:to>
      <xdr:col>3</xdr:col>
      <xdr:colOff>180975</xdr:colOff>
      <xdr:row>85</xdr:row>
      <xdr:rowOff>800100</xdr:rowOff>
    </xdr:to>
    <xdr:sp macro="" textlink="">
      <xdr:nvSpPr>
        <xdr:cNvPr id="138" name="Имя " descr="Descr 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</xdr:row>
      <xdr:rowOff>647700</xdr:rowOff>
    </xdr:from>
    <xdr:to>
      <xdr:col>3</xdr:col>
      <xdr:colOff>180975</xdr:colOff>
      <xdr:row>88</xdr:row>
      <xdr:rowOff>800100</xdr:rowOff>
    </xdr:to>
    <xdr:sp macro="" textlink="">
      <xdr:nvSpPr>
        <xdr:cNvPr id="140" name="Имя " descr="Descr 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</xdr:row>
      <xdr:rowOff>647700</xdr:rowOff>
    </xdr:from>
    <xdr:to>
      <xdr:col>3</xdr:col>
      <xdr:colOff>180975</xdr:colOff>
      <xdr:row>89</xdr:row>
      <xdr:rowOff>800100</xdr:rowOff>
    </xdr:to>
    <xdr:sp macro="" textlink="">
      <xdr:nvSpPr>
        <xdr:cNvPr id="142" name="Имя " descr="Descr 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</xdr:row>
      <xdr:rowOff>647700</xdr:rowOff>
    </xdr:from>
    <xdr:to>
      <xdr:col>3</xdr:col>
      <xdr:colOff>180975</xdr:colOff>
      <xdr:row>90</xdr:row>
      <xdr:rowOff>800100</xdr:rowOff>
    </xdr:to>
    <xdr:sp macro="" textlink="">
      <xdr:nvSpPr>
        <xdr:cNvPr id="144" name="Имя " descr="Descr 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</xdr:row>
      <xdr:rowOff>647700</xdr:rowOff>
    </xdr:from>
    <xdr:to>
      <xdr:col>3</xdr:col>
      <xdr:colOff>180975</xdr:colOff>
      <xdr:row>91</xdr:row>
      <xdr:rowOff>800100</xdr:rowOff>
    </xdr:to>
    <xdr:sp macro="" textlink="">
      <xdr:nvSpPr>
        <xdr:cNvPr id="146" name="Имя " descr="Descr 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92</xdr:row>
      <xdr:rowOff>647700</xdr:rowOff>
    </xdr:from>
    <xdr:to>
      <xdr:col>3</xdr:col>
      <xdr:colOff>180975</xdr:colOff>
      <xdr:row>92</xdr:row>
      <xdr:rowOff>800100</xdr:rowOff>
    </xdr:to>
    <xdr:sp macro="" textlink="">
      <xdr:nvSpPr>
        <xdr:cNvPr id="148" name="Имя " descr="Descr 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</xdr:row>
      <xdr:rowOff>647700</xdr:rowOff>
    </xdr:from>
    <xdr:to>
      <xdr:col>3</xdr:col>
      <xdr:colOff>180975</xdr:colOff>
      <xdr:row>93</xdr:row>
      <xdr:rowOff>800100</xdr:rowOff>
    </xdr:to>
    <xdr:sp macro="" textlink="">
      <xdr:nvSpPr>
        <xdr:cNvPr id="150" name="Имя " descr="Descr 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</xdr:row>
      <xdr:rowOff>647700</xdr:rowOff>
    </xdr:from>
    <xdr:to>
      <xdr:col>3</xdr:col>
      <xdr:colOff>180975</xdr:colOff>
      <xdr:row>94</xdr:row>
      <xdr:rowOff>800100</xdr:rowOff>
    </xdr:to>
    <xdr:sp macro="" textlink="">
      <xdr:nvSpPr>
        <xdr:cNvPr id="152" name="Имя " descr="Descr 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</xdr:row>
      <xdr:rowOff>647700</xdr:rowOff>
    </xdr:from>
    <xdr:to>
      <xdr:col>3</xdr:col>
      <xdr:colOff>180975</xdr:colOff>
      <xdr:row>95</xdr:row>
      <xdr:rowOff>800100</xdr:rowOff>
    </xdr:to>
    <xdr:sp macro="" textlink="">
      <xdr:nvSpPr>
        <xdr:cNvPr id="154" name="Имя " descr="Descr 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</xdr:row>
      <xdr:rowOff>647700</xdr:rowOff>
    </xdr:from>
    <xdr:to>
      <xdr:col>3</xdr:col>
      <xdr:colOff>180975</xdr:colOff>
      <xdr:row>96</xdr:row>
      <xdr:rowOff>800100</xdr:rowOff>
    </xdr:to>
    <xdr:sp macro="" textlink="">
      <xdr:nvSpPr>
        <xdr:cNvPr id="156" name="Имя " descr="Descr 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97</xdr:row>
      <xdr:rowOff>647700</xdr:rowOff>
    </xdr:from>
    <xdr:to>
      <xdr:col>3</xdr:col>
      <xdr:colOff>180975</xdr:colOff>
      <xdr:row>97</xdr:row>
      <xdr:rowOff>800100</xdr:rowOff>
    </xdr:to>
    <xdr:sp macro="" textlink="">
      <xdr:nvSpPr>
        <xdr:cNvPr id="158" name="Имя " descr="Descr 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98</xdr:row>
      <xdr:rowOff>647700</xdr:rowOff>
    </xdr:from>
    <xdr:to>
      <xdr:col>3</xdr:col>
      <xdr:colOff>180975</xdr:colOff>
      <xdr:row>98</xdr:row>
      <xdr:rowOff>800100</xdr:rowOff>
    </xdr:to>
    <xdr:sp macro="" textlink="">
      <xdr:nvSpPr>
        <xdr:cNvPr id="160" name="Имя " descr="Descr 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</xdr:row>
      <xdr:rowOff>647700</xdr:rowOff>
    </xdr:from>
    <xdr:to>
      <xdr:col>3</xdr:col>
      <xdr:colOff>180975</xdr:colOff>
      <xdr:row>99</xdr:row>
      <xdr:rowOff>800100</xdr:rowOff>
    </xdr:to>
    <xdr:sp macro="" textlink="">
      <xdr:nvSpPr>
        <xdr:cNvPr id="162" name="Имя " descr="Descr 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</xdr:row>
      <xdr:rowOff>647700</xdr:rowOff>
    </xdr:from>
    <xdr:to>
      <xdr:col>3</xdr:col>
      <xdr:colOff>180975</xdr:colOff>
      <xdr:row>100</xdr:row>
      <xdr:rowOff>800100</xdr:rowOff>
    </xdr:to>
    <xdr:sp macro="" textlink="">
      <xdr:nvSpPr>
        <xdr:cNvPr id="164" name="Имя " descr="Descr 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</xdr:row>
      <xdr:rowOff>647700</xdr:rowOff>
    </xdr:from>
    <xdr:to>
      <xdr:col>3</xdr:col>
      <xdr:colOff>180975</xdr:colOff>
      <xdr:row>101</xdr:row>
      <xdr:rowOff>800100</xdr:rowOff>
    </xdr:to>
    <xdr:sp macro="" textlink="">
      <xdr:nvSpPr>
        <xdr:cNvPr id="166" name="Имя " descr="Descr 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</xdr:row>
      <xdr:rowOff>647700</xdr:rowOff>
    </xdr:from>
    <xdr:to>
      <xdr:col>3</xdr:col>
      <xdr:colOff>180975</xdr:colOff>
      <xdr:row>102</xdr:row>
      <xdr:rowOff>800100</xdr:rowOff>
    </xdr:to>
    <xdr:sp macro="" textlink="">
      <xdr:nvSpPr>
        <xdr:cNvPr id="168" name="Имя " descr="Descr 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</xdr:row>
      <xdr:rowOff>647700</xdr:rowOff>
    </xdr:from>
    <xdr:to>
      <xdr:col>3</xdr:col>
      <xdr:colOff>180975</xdr:colOff>
      <xdr:row>103</xdr:row>
      <xdr:rowOff>800100</xdr:rowOff>
    </xdr:to>
    <xdr:sp macro="" textlink="">
      <xdr:nvSpPr>
        <xdr:cNvPr id="170" name="Имя " descr="Descr 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</xdr:row>
      <xdr:rowOff>647700</xdr:rowOff>
    </xdr:from>
    <xdr:to>
      <xdr:col>3</xdr:col>
      <xdr:colOff>180975</xdr:colOff>
      <xdr:row>104</xdr:row>
      <xdr:rowOff>800100</xdr:rowOff>
    </xdr:to>
    <xdr:sp macro="" textlink="">
      <xdr:nvSpPr>
        <xdr:cNvPr id="172" name="Имя " descr="Descr 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</xdr:row>
      <xdr:rowOff>647700</xdr:rowOff>
    </xdr:from>
    <xdr:to>
      <xdr:col>3</xdr:col>
      <xdr:colOff>180975</xdr:colOff>
      <xdr:row>105</xdr:row>
      <xdr:rowOff>800100</xdr:rowOff>
    </xdr:to>
    <xdr:sp macro="" textlink="">
      <xdr:nvSpPr>
        <xdr:cNvPr id="174" name="Имя " descr="Descr 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</xdr:row>
      <xdr:rowOff>647700</xdr:rowOff>
    </xdr:from>
    <xdr:to>
      <xdr:col>3</xdr:col>
      <xdr:colOff>180975</xdr:colOff>
      <xdr:row>106</xdr:row>
      <xdr:rowOff>800100</xdr:rowOff>
    </xdr:to>
    <xdr:sp macro="" textlink="">
      <xdr:nvSpPr>
        <xdr:cNvPr id="176" name="Имя " descr="Descr 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</xdr:row>
      <xdr:rowOff>647700</xdr:rowOff>
    </xdr:from>
    <xdr:to>
      <xdr:col>3</xdr:col>
      <xdr:colOff>180975</xdr:colOff>
      <xdr:row>107</xdr:row>
      <xdr:rowOff>800100</xdr:rowOff>
    </xdr:to>
    <xdr:sp macro="" textlink="">
      <xdr:nvSpPr>
        <xdr:cNvPr id="178" name="Имя " descr="Descr 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</xdr:row>
      <xdr:rowOff>647700</xdr:rowOff>
    </xdr:from>
    <xdr:to>
      <xdr:col>3</xdr:col>
      <xdr:colOff>180975</xdr:colOff>
      <xdr:row>108</xdr:row>
      <xdr:rowOff>800100</xdr:rowOff>
    </xdr:to>
    <xdr:sp macro="" textlink="">
      <xdr:nvSpPr>
        <xdr:cNvPr id="180" name="Имя " descr="Descr 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</xdr:row>
      <xdr:rowOff>647700</xdr:rowOff>
    </xdr:from>
    <xdr:to>
      <xdr:col>3</xdr:col>
      <xdr:colOff>180975</xdr:colOff>
      <xdr:row>109</xdr:row>
      <xdr:rowOff>800100</xdr:rowOff>
    </xdr:to>
    <xdr:sp macro="" textlink="">
      <xdr:nvSpPr>
        <xdr:cNvPr id="182" name="Имя " descr="Descr 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</xdr:row>
      <xdr:rowOff>647700</xdr:rowOff>
    </xdr:from>
    <xdr:to>
      <xdr:col>3</xdr:col>
      <xdr:colOff>180975</xdr:colOff>
      <xdr:row>110</xdr:row>
      <xdr:rowOff>800100</xdr:rowOff>
    </xdr:to>
    <xdr:sp macro="" textlink="">
      <xdr:nvSpPr>
        <xdr:cNvPr id="184" name="Имя " descr="Descr 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</xdr:row>
      <xdr:rowOff>647700</xdr:rowOff>
    </xdr:from>
    <xdr:to>
      <xdr:col>3</xdr:col>
      <xdr:colOff>180975</xdr:colOff>
      <xdr:row>111</xdr:row>
      <xdr:rowOff>800100</xdr:rowOff>
    </xdr:to>
    <xdr:sp macro="" textlink="">
      <xdr:nvSpPr>
        <xdr:cNvPr id="186" name="Имя " descr="Descr 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</xdr:row>
      <xdr:rowOff>647700</xdr:rowOff>
    </xdr:from>
    <xdr:to>
      <xdr:col>3</xdr:col>
      <xdr:colOff>180975</xdr:colOff>
      <xdr:row>112</xdr:row>
      <xdr:rowOff>800100</xdr:rowOff>
    </xdr:to>
    <xdr:sp macro="" textlink="">
      <xdr:nvSpPr>
        <xdr:cNvPr id="188" name="Имя " descr="Descr 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</xdr:row>
      <xdr:rowOff>647700</xdr:rowOff>
    </xdr:from>
    <xdr:to>
      <xdr:col>3</xdr:col>
      <xdr:colOff>180975</xdr:colOff>
      <xdr:row>113</xdr:row>
      <xdr:rowOff>800100</xdr:rowOff>
    </xdr:to>
    <xdr:sp macro="" textlink="">
      <xdr:nvSpPr>
        <xdr:cNvPr id="190" name="Имя " descr="Descr 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</xdr:row>
      <xdr:rowOff>647700</xdr:rowOff>
    </xdr:from>
    <xdr:to>
      <xdr:col>3</xdr:col>
      <xdr:colOff>180975</xdr:colOff>
      <xdr:row>115</xdr:row>
      <xdr:rowOff>800100</xdr:rowOff>
    </xdr:to>
    <xdr:sp macro="" textlink="">
      <xdr:nvSpPr>
        <xdr:cNvPr id="192" name="Имя " descr="Descr 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</xdr:row>
      <xdr:rowOff>647700</xdr:rowOff>
    </xdr:from>
    <xdr:to>
      <xdr:col>3</xdr:col>
      <xdr:colOff>180975</xdr:colOff>
      <xdr:row>116</xdr:row>
      <xdr:rowOff>800100</xdr:rowOff>
    </xdr:to>
    <xdr:sp macro="" textlink="">
      <xdr:nvSpPr>
        <xdr:cNvPr id="194" name="Имя " descr="Descr 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</xdr:row>
      <xdr:rowOff>647700</xdr:rowOff>
    </xdr:from>
    <xdr:to>
      <xdr:col>3</xdr:col>
      <xdr:colOff>180975</xdr:colOff>
      <xdr:row>117</xdr:row>
      <xdr:rowOff>800100</xdr:rowOff>
    </xdr:to>
    <xdr:sp macro="" textlink="">
      <xdr:nvSpPr>
        <xdr:cNvPr id="196" name="Имя " descr="Descr 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</xdr:row>
      <xdr:rowOff>647700</xdr:rowOff>
    </xdr:from>
    <xdr:to>
      <xdr:col>3</xdr:col>
      <xdr:colOff>180975</xdr:colOff>
      <xdr:row>118</xdr:row>
      <xdr:rowOff>800100</xdr:rowOff>
    </xdr:to>
    <xdr:sp macro="" textlink="">
      <xdr:nvSpPr>
        <xdr:cNvPr id="198" name="Имя " descr="Descr 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</xdr:row>
      <xdr:rowOff>647700</xdr:rowOff>
    </xdr:from>
    <xdr:to>
      <xdr:col>3</xdr:col>
      <xdr:colOff>180975</xdr:colOff>
      <xdr:row>119</xdr:row>
      <xdr:rowOff>800100</xdr:rowOff>
    </xdr:to>
    <xdr:sp macro="" textlink="">
      <xdr:nvSpPr>
        <xdr:cNvPr id="200" name="Имя " descr="Descr 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</xdr:row>
      <xdr:rowOff>647700</xdr:rowOff>
    </xdr:from>
    <xdr:to>
      <xdr:col>3</xdr:col>
      <xdr:colOff>180975</xdr:colOff>
      <xdr:row>120</xdr:row>
      <xdr:rowOff>800100</xdr:rowOff>
    </xdr:to>
    <xdr:sp macro="" textlink="">
      <xdr:nvSpPr>
        <xdr:cNvPr id="202" name="Имя " descr="Descr 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</xdr:row>
      <xdr:rowOff>647700</xdr:rowOff>
    </xdr:from>
    <xdr:to>
      <xdr:col>3</xdr:col>
      <xdr:colOff>180975</xdr:colOff>
      <xdr:row>121</xdr:row>
      <xdr:rowOff>800100</xdr:rowOff>
    </xdr:to>
    <xdr:sp macro="" textlink="">
      <xdr:nvSpPr>
        <xdr:cNvPr id="204" name="Имя " descr="Descr 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</xdr:row>
      <xdr:rowOff>647700</xdr:rowOff>
    </xdr:from>
    <xdr:to>
      <xdr:col>3</xdr:col>
      <xdr:colOff>180975</xdr:colOff>
      <xdr:row>122</xdr:row>
      <xdr:rowOff>800100</xdr:rowOff>
    </xdr:to>
    <xdr:sp macro="" textlink="">
      <xdr:nvSpPr>
        <xdr:cNvPr id="206" name="Имя " descr="Descr 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</xdr:row>
      <xdr:rowOff>647700</xdr:rowOff>
    </xdr:from>
    <xdr:to>
      <xdr:col>3</xdr:col>
      <xdr:colOff>180975</xdr:colOff>
      <xdr:row>123</xdr:row>
      <xdr:rowOff>800100</xdr:rowOff>
    </xdr:to>
    <xdr:sp macro="" textlink="">
      <xdr:nvSpPr>
        <xdr:cNvPr id="208" name="Имя " descr="Descr 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</xdr:row>
      <xdr:rowOff>647700</xdr:rowOff>
    </xdr:from>
    <xdr:to>
      <xdr:col>3</xdr:col>
      <xdr:colOff>180975</xdr:colOff>
      <xdr:row>124</xdr:row>
      <xdr:rowOff>800100</xdr:rowOff>
    </xdr:to>
    <xdr:sp macro="" textlink="">
      <xdr:nvSpPr>
        <xdr:cNvPr id="210" name="Имя " descr="Descr 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125</xdr:row>
      <xdr:rowOff>647700</xdr:rowOff>
    </xdr:from>
    <xdr:to>
      <xdr:col>3</xdr:col>
      <xdr:colOff>180975</xdr:colOff>
      <xdr:row>125</xdr:row>
      <xdr:rowOff>800100</xdr:rowOff>
    </xdr:to>
    <xdr:sp macro="" textlink="">
      <xdr:nvSpPr>
        <xdr:cNvPr id="212" name="Имя " descr="Descr 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</xdr:row>
      <xdr:rowOff>647700</xdr:rowOff>
    </xdr:from>
    <xdr:to>
      <xdr:col>3</xdr:col>
      <xdr:colOff>180975</xdr:colOff>
      <xdr:row>126</xdr:row>
      <xdr:rowOff>800100</xdr:rowOff>
    </xdr:to>
    <xdr:sp macro="" textlink="">
      <xdr:nvSpPr>
        <xdr:cNvPr id="214" name="Имя " descr="Descr 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</xdr:row>
      <xdr:rowOff>647700</xdr:rowOff>
    </xdr:from>
    <xdr:to>
      <xdr:col>3</xdr:col>
      <xdr:colOff>180975</xdr:colOff>
      <xdr:row>127</xdr:row>
      <xdr:rowOff>800100</xdr:rowOff>
    </xdr:to>
    <xdr:sp macro="" textlink="">
      <xdr:nvSpPr>
        <xdr:cNvPr id="216" name="Имя " descr="Descr 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</xdr:row>
      <xdr:rowOff>647700</xdr:rowOff>
    </xdr:from>
    <xdr:to>
      <xdr:col>3</xdr:col>
      <xdr:colOff>180975</xdr:colOff>
      <xdr:row>128</xdr:row>
      <xdr:rowOff>800100</xdr:rowOff>
    </xdr:to>
    <xdr:sp macro="" textlink="">
      <xdr:nvSpPr>
        <xdr:cNvPr id="218" name="Имя " descr="Descr 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</xdr:row>
      <xdr:rowOff>647700</xdr:rowOff>
    </xdr:from>
    <xdr:to>
      <xdr:col>3</xdr:col>
      <xdr:colOff>180975</xdr:colOff>
      <xdr:row>129</xdr:row>
      <xdr:rowOff>800100</xdr:rowOff>
    </xdr:to>
    <xdr:sp macro="" textlink="">
      <xdr:nvSpPr>
        <xdr:cNvPr id="220" name="Имя " descr="Descr 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</xdr:row>
      <xdr:rowOff>647700</xdr:rowOff>
    </xdr:from>
    <xdr:to>
      <xdr:col>3</xdr:col>
      <xdr:colOff>180975</xdr:colOff>
      <xdr:row>130</xdr:row>
      <xdr:rowOff>800100</xdr:rowOff>
    </xdr:to>
    <xdr:sp macro="" textlink="">
      <xdr:nvSpPr>
        <xdr:cNvPr id="222" name="Имя " descr="Descr 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</xdr:row>
      <xdr:rowOff>647700</xdr:rowOff>
    </xdr:from>
    <xdr:to>
      <xdr:col>3</xdr:col>
      <xdr:colOff>180975</xdr:colOff>
      <xdr:row>131</xdr:row>
      <xdr:rowOff>800100</xdr:rowOff>
    </xdr:to>
    <xdr:sp macro="" textlink="">
      <xdr:nvSpPr>
        <xdr:cNvPr id="224" name="Имя " descr="Descr 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</xdr:row>
      <xdr:rowOff>647700</xdr:rowOff>
    </xdr:from>
    <xdr:to>
      <xdr:col>3</xdr:col>
      <xdr:colOff>180975</xdr:colOff>
      <xdr:row>132</xdr:row>
      <xdr:rowOff>800100</xdr:rowOff>
    </xdr:to>
    <xdr:sp macro="" textlink="">
      <xdr:nvSpPr>
        <xdr:cNvPr id="226" name="Имя " descr="Descr 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</xdr:row>
      <xdr:rowOff>647700</xdr:rowOff>
    </xdr:from>
    <xdr:to>
      <xdr:col>3</xdr:col>
      <xdr:colOff>180975</xdr:colOff>
      <xdr:row>133</xdr:row>
      <xdr:rowOff>800100</xdr:rowOff>
    </xdr:to>
    <xdr:sp macro="" textlink="">
      <xdr:nvSpPr>
        <xdr:cNvPr id="228" name="Имя " descr="Descr 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</xdr:row>
      <xdr:rowOff>647700</xdr:rowOff>
    </xdr:from>
    <xdr:to>
      <xdr:col>3</xdr:col>
      <xdr:colOff>180975</xdr:colOff>
      <xdr:row>134</xdr:row>
      <xdr:rowOff>800100</xdr:rowOff>
    </xdr:to>
    <xdr:sp macro="" textlink="">
      <xdr:nvSpPr>
        <xdr:cNvPr id="230" name="Имя " descr="Descr 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</xdr:row>
      <xdr:rowOff>647700</xdr:rowOff>
    </xdr:from>
    <xdr:to>
      <xdr:col>3</xdr:col>
      <xdr:colOff>180975</xdr:colOff>
      <xdr:row>135</xdr:row>
      <xdr:rowOff>800100</xdr:rowOff>
    </xdr:to>
    <xdr:sp macro="" textlink="">
      <xdr:nvSpPr>
        <xdr:cNvPr id="232" name="Имя " descr="Descr 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136</xdr:row>
      <xdr:rowOff>647700</xdr:rowOff>
    </xdr:from>
    <xdr:to>
      <xdr:col>3</xdr:col>
      <xdr:colOff>180975</xdr:colOff>
      <xdr:row>136</xdr:row>
      <xdr:rowOff>800100</xdr:rowOff>
    </xdr:to>
    <xdr:sp macro="" textlink="">
      <xdr:nvSpPr>
        <xdr:cNvPr id="234" name="Имя " descr="Descr 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</xdr:row>
      <xdr:rowOff>647700</xdr:rowOff>
    </xdr:from>
    <xdr:to>
      <xdr:col>3</xdr:col>
      <xdr:colOff>180975</xdr:colOff>
      <xdr:row>137</xdr:row>
      <xdr:rowOff>800100</xdr:rowOff>
    </xdr:to>
    <xdr:sp macro="" textlink="">
      <xdr:nvSpPr>
        <xdr:cNvPr id="236" name="Имя " descr="Descr 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</xdr:row>
      <xdr:rowOff>647700</xdr:rowOff>
    </xdr:from>
    <xdr:to>
      <xdr:col>3</xdr:col>
      <xdr:colOff>180975</xdr:colOff>
      <xdr:row>138</xdr:row>
      <xdr:rowOff>800100</xdr:rowOff>
    </xdr:to>
    <xdr:sp macro="" textlink="">
      <xdr:nvSpPr>
        <xdr:cNvPr id="238" name="Имя " descr="Descr 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139</xdr:row>
      <xdr:rowOff>647700</xdr:rowOff>
    </xdr:from>
    <xdr:to>
      <xdr:col>3</xdr:col>
      <xdr:colOff>180975</xdr:colOff>
      <xdr:row>139</xdr:row>
      <xdr:rowOff>800100</xdr:rowOff>
    </xdr:to>
    <xdr:sp macro="" textlink="">
      <xdr:nvSpPr>
        <xdr:cNvPr id="240" name="Имя " descr="Descr 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</xdr:row>
      <xdr:rowOff>647700</xdr:rowOff>
    </xdr:from>
    <xdr:to>
      <xdr:col>3</xdr:col>
      <xdr:colOff>180975</xdr:colOff>
      <xdr:row>140</xdr:row>
      <xdr:rowOff>800100</xdr:rowOff>
    </xdr:to>
    <xdr:sp macro="" textlink="">
      <xdr:nvSpPr>
        <xdr:cNvPr id="242" name="Имя " descr="Descr 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</xdr:row>
      <xdr:rowOff>647700</xdr:rowOff>
    </xdr:from>
    <xdr:to>
      <xdr:col>3</xdr:col>
      <xdr:colOff>180975</xdr:colOff>
      <xdr:row>141</xdr:row>
      <xdr:rowOff>800100</xdr:rowOff>
    </xdr:to>
    <xdr:sp macro="" textlink="">
      <xdr:nvSpPr>
        <xdr:cNvPr id="244" name="Имя " descr="Descr 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142</xdr:row>
      <xdr:rowOff>647700</xdr:rowOff>
    </xdr:from>
    <xdr:to>
      <xdr:col>3</xdr:col>
      <xdr:colOff>180975</xdr:colOff>
      <xdr:row>142</xdr:row>
      <xdr:rowOff>800100</xdr:rowOff>
    </xdr:to>
    <xdr:sp macro="" textlink="">
      <xdr:nvSpPr>
        <xdr:cNvPr id="246" name="Имя " descr="Descr 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143</xdr:row>
      <xdr:rowOff>647700</xdr:rowOff>
    </xdr:from>
    <xdr:to>
      <xdr:col>3</xdr:col>
      <xdr:colOff>180975</xdr:colOff>
      <xdr:row>143</xdr:row>
      <xdr:rowOff>800100</xdr:rowOff>
    </xdr:to>
    <xdr:sp macro="" textlink="">
      <xdr:nvSpPr>
        <xdr:cNvPr id="248" name="Имя " descr="Descr 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</xdr:row>
      <xdr:rowOff>647700</xdr:rowOff>
    </xdr:from>
    <xdr:to>
      <xdr:col>3</xdr:col>
      <xdr:colOff>180975</xdr:colOff>
      <xdr:row>144</xdr:row>
      <xdr:rowOff>800100</xdr:rowOff>
    </xdr:to>
    <xdr:sp macro="" textlink="">
      <xdr:nvSpPr>
        <xdr:cNvPr id="250" name="Имя " descr="Descr 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145</xdr:row>
      <xdr:rowOff>647700</xdr:rowOff>
    </xdr:from>
    <xdr:to>
      <xdr:col>3</xdr:col>
      <xdr:colOff>180975</xdr:colOff>
      <xdr:row>145</xdr:row>
      <xdr:rowOff>800100</xdr:rowOff>
    </xdr:to>
    <xdr:sp macro="" textlink="">
      <xdr:nvSpPr>
        <xdr:cNvPr id="252" name="Имя " descr="Descr 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146</xdr:row>
      <xdr:rowOff>647700</xdr:rowOff>
    </xdr:from>
    <xdr:to>
      <xdr:col>3</xdr:col>
      <xdr:colOff>180975</xdr:colOff>
      <xdr:row>146</xdr:row>
      <xdr:rowOff>800100</xdr:rowOff>
    </xdr:to>
    <xdr:sp macro="" textlink="">
      <xdr:nvSpPr>
        <xdr:cNvPr id="254" name="Имя " descr="Descr 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</xdr:row>
      <xdr:rowOff>647700</xdr:rowOff>
    </xdr:from>
    <xdr:to>
      <xdr:col>3</xdr:col>
      <xdr:colOff>180975</xdr:colOff>
      <xdr:row>147</xdr:row>
      <xdr:rowOff>800100</xdr:rowOff>
    </xdr:to>
    <xdr:sp macro="" textlink="">
      <xdr:nvSpPr>
        <xdr:cNvPr id="256" name="Имя " descr="Descr 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149</xdr:row>
      <xdr:rowOff>647700</xdr:rowOff>
    </xdr:from>
    <xdr:to>
      <xdr:col>3</xdr:col>
      <xdr:colOff>180975</xdr:colOff>
      <xdr:row>149</xdr:row>
      <xdr:rowOff>800100</xdr:rowOff>
    </xdr:to>
    <xdr:sp macro="" textlink="">
      <xdr:nvSpPr>
        <xdr:cNvPr id="258" name="Имя " descr="Descr 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150</xdr:row>
      <xdr:rowOff>647700</xdr:rowOff>
    </xdr:from>
    <xdr:to>
      <xdr:col>3</xdr:col>
      <xdr:colOff>180975</xdr:colOff>
      <xdr:row>150</xdr:row>
      <xdr:rowOff>800100</xdr:rowOff>
    </xdr:to>
    <xdr:sp macro="" textlink="">
      <xdr:nvSpPr>
        <xdr:cNvPr id="260" name="Имя " descr="Descr 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151</xdr:row>
      <xdr:rowOff>647700</xdr:rowOff>
    </xdr:from>
    <xdr:to>
      <xdr:col>3</xdr:col>
      <xdr:colOff>180975</xdr:colOff>
      <xdr:row>151</xdr:row>
      <xdr:rowOff>800100</xdr:rowOff>
    </xdr:to>
    <xdr:sp macro="" textlink="">
      <xdr:nvSpPr>
        <xdr:cNvPr id="262" name="Имя " descr="Descr 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152</xdr:row>
      <xdr:rowOff>647700</xdr:rowOff>
    </xdr:from>
    <xdr:to>
      <xdr:col>3</xdr:col>
      <xdr:colOff>180975</xdr:colOff>
      <xdr:row>152</xdr:row>
      <xdr:rowOff>800100</xdr:rowOff>
    </xdr:to>
    <xdr:sp macro="" textlink="">
      <xdr:nvSpPr>
        <xdr:cNvPr id="264" name="Имя " descr="Descr 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153</xdr:row>
      <xdr:rowOff>647700</xdr:rowOff>
    </xdr:from>
    <xdr:to>
      <xdr:col>3</xdr:col>
      <xdr:colOff>180975</xdr:colOff>
      <xdr:row>153</xdr:row>
      <xdr:rowOff>800100</xdr:rowOff>
    </xdr:to>
    <xdr:sp macro="" textlink="">
      <xdr:nvSpPr>
        <xdr:cNvPr id="266" name="Имя " descr="Descr 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154</xdr:row>
      <xdr:rowOff>647700</xdr:rowOff>
    </xdr:from>
    <xdr:to>
      <xdr:col>3</xdr:col>
      <xdr:colOff>180975</xdr:colOff>
      <xdr:row>154</xdr:row>
      <xdr:rowOff>800100</xdr:rowOff>
    </xdr:to>
    <xdr:sp macro="" textlink="">
      <xdr:nvSpPr>
        <xdr:cNvPr id="268" name="Имя " descr="Descr 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155</xdr:row>
      <xdr:rowOff>647700</xdr:rowOff>
    </xdr:from>
    <xdr:to>
      <xdr:col>3</xdr:col>
      <xdr:colOff>180975</xdr:colOff>
      <xdr:row>155</xdr:row>
      <xdr:rowOff>800100</xdr:rowOff>
    </xdr:to>
    <xdr:sp macro="" textlink="">
      <xdr:nvSpPr>
        <xdr:cNvPr id="270" name="Имя " descr="Descr 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156</xdr:row>
      <xdr:rowOff>647700</xdr:rowOff>
    </xdr:from>
    <xdr:to>
      <xdr:col>3</xdr:col>
      <xdr:colOff>180975</xdr:colOff>
      <xdr:row>156</xdr:row>
      <xdr:rowOff>800100</xdr:rowOff>
    </xdr:to>
    <xdr:sp macro="" textlink="">
      <xdr:nvSpPr>
        <xdr:cNvPr id="272" name="Имя " descr="Descr 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157</xdr:row>
      <xdr:rowOff>647700</xdr:rowOff>
    </xdr:from>
    <xdr:to>
      <xdr:col>3</xdr:col>
      <xdr:colOff>180975</xdr:colOff>
      <xdr:row>157</xdr:row>
      <xdr:rowOff>800100</xdr:rowOff>
    </xdr:to>
    <xdr:sp macro="" textlink="">
      <xdr:nvSpPr>
        <xdr:cNvPr id="274" name="Имя " descr="Descr 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158</xdr:row>
      <xdr:rowOff>647700</xdr:rowOff>
    </xdr:from>
    <xdr:to>
      <xdr:col>3</xdr:col>
      <xdr:colOff>180975</xdr:colOff>
      <xdr:row>158</xdr:row>
      <xdr:rowOff>800100</xdr:rowOff>
    </xdr:to>
    <xdr:sp macro="" textlink="">
      <xdr:nvSpPr>
        <xdr:cNvPr id="276" name="Имя " descr="Descr 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159</xdr:row>
      <xdr:rowOff>647700</xdr:rowOff>
    </xdr:from>
    <xdr:to>
      <xdr:col>3</xdr:col>
      <xdr:colOff>180975</xdr:colOff>
      <xdr:row>159</xdr:row>
      <xdr:rowOff>800100</xdr:rowOff>
    </xdr:to>
    <xdr:sp macro="" textlink="">
      <xdr:nvSpPr>
        <xdr:cNvPr id="278" name="Имя " descr="Descr 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160</xdr:row>
      <xdr:rowOff>647700</xdr:rowOff>
    </xdr:from>
    <xdr:to>
      <xdr:col>3</xdr:col>
      <xdr:colOff>180975</xdr:colOff>
      <xdr:row>160</xdr:row>
      <xdr:rowOff>800100</xdr:rowOff>
    </xdr:to>
    <xdr:sp macro="" textlink="">
      <xdr:nvSpPr>
        <xdr:cNvPr id="280" name="Имя " descr="Descr 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161</xdr:row>
      <xdr:rowOff>647700</xdr:rowOff>
    </xdr:from>
    <xdr:to>
      <xdr:col>3</xdr:col>
      <xdr:colOff>180975</xdr:colOff>
      <xdr:row>161</xdr:row>
      <xdr:rowOff>800100</xdr:rowOff>
    </xdr:to>
    <xdr:sp macro="" textlink="">
      <xdr:nvSpPr>
        <xdr:cNvPr id="282" name="Имя " descr="Descr 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162</xdr:row>
      <xdr:rowOff>647700</xdr:rowOff>
    </xdr:from>
    <xdr:to>
      <xdr:col>3</xdr:col>
      <xdr:colOff>180975</xdr:colOff>
      <xdr:row>162</xdr:row>
      <xdr:rowOff>800100</xdr:rowOff>
    </xdr:to>
    <xdr:sp macro="" textlink="">
      <xdr:nvSpPr>
        <xdr:cNvPr id="284" name="Имя " descr="Descr 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163</xdr:row>
      <xdr:rowOff>647700</xdr:rowOff>
    </xdr:from>
    <xdr:to>
      <xdr:col>3</xdr:col>
      <xdr:colOff>180975</xdr:colOff>
      <xdr:row>163</xdr:row>
      <xdr:rowOff>800100</xdr:rowOff>
    </xdr:to>
    <xdr:sp macro="" textlink="">
      <xdr:nvSpPr>
        <xdr:cNvPr id="286" name="Имя " descr="Descr 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164</xdr:row>
      <xdr:rowOff>647700</xdr:rowOff>
    </xdr:from>
    <xdr:to>
      <xdr:col>3</xdr:col>
      <xdr:colOff>180975</xdr:colOff>
      <xdr:row>164</xdr:row>
      <xdr:rowOff>800100</xdr:rowOff>
    </xdr:to>
    <xdr:sp macro="" textlink="">
      <xdr:nvSpPr>
        <xdr:cNvPr id="288" name="Имя " descr="Descr 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165</xdr:row>
      <xdr:rowOff>647700</xdr:rowOff>
    </xdr:from>
    <xdr:to>
      <xdr:col>3</xdr:col>
      <xdr:colOff>180975</xdr:colOff>
      <xdr:row>165</xdr:row>
      <xdr:rowOff>800100</xdr:rowOff>
    </xdr:to>
    <xdr:sp macro="" textlink="">
      <xdr:nvSpPr>
        <xdr:cNvPr id="290" name="Имя " descr="Descr 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166</xdr:row>
      <xdr:rowOff>647700</xdr:rowOff>
    </xdr:from>
    <xdr:to>
      <xdr:col>3</xdr:col>
      <xdr:colOff>180975</xdr:colOff>
      <xdr:row>166</xdr:row>
      <xdr:rowOff>800100</xdr:rowOff>
    </xdr:to>
    <xdr:sp macro="" textlink="">
      <xdr:nvSpPr>
        <xdr:cNvPr id="292" name="Имя " descr="Descr 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167</xdr:row>
      <xdr:rowOff>647700</xdr:rowOff>
    </xdr:from>
    <xdr:to>
      <xdr:col>3</xdr:col>
      <xdr:colOff>180975</xdr:colOff>
      <xdr:row>167</xdr:row>
      <xdr:rowOff>800100</xdr:rowOff>
    </xdr:to>
    <xdr:sp macro="" textlink="">
      <xdr:nvSpPr>
        <xdr:cNvPr id="294" name="Имя " descr="Descr 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168</xdr:row>
      <xdr:rowOff>647700</xdr:rowOff>
    </xdr:from>
    <xdr:to>
      <xdr:col>3</xdr:col>
      <xdr:colOff>180975</xdr:colOff>
      <xdr:row>168</xdr:row>
      <xdr:rowOff>800100</xdr:rowOff>
    </xdr:to>
    <xdr:sp macro="" textlink="">
      <xdr:nvSpPr>
        <xdr:cNvPr id="296" name="Имя " descr="Descr 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169</xdr:row>
      <xdr:rowOff>647700</xdr:rowOff>
    </xdr:from>
    <xdr:to>
      <xdr:col>3</xdr:col>
      <xdr:colOff>180975</xdr:colOff>
      <xdr:row>169</xdr:row>
      <xdr:rowOff>800100</xdr:rowOff>
    </xdr:to>
    <xdr:sp macro="" textlink="">
      <xdr:nvSpPr>
        <xdr:cNvPr id="298" name="Имя " descr="Descr 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170</xdr:row>
      <xdr:rowOff>647700</xdr:rowOff>
    </xdr:from>
    <xdr:to>
      <xdr:col>3</xdr:col>
      <xdr:colOff>180975</xdr:colOff>
      <xdr:row>170</xdr:row>
      <xdr:rowOff>800100</xdr:rowOff>
    </xdr:to>
    <xdr:sp macro="" textlink="">
      <xdr:nvSpPr>
        <xdr:cNvPr id="300" name="Имя " descr="Descr 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171</xdr:row>
      <xdr:rowOff>647700</xdr:rowOff>
    </xdr:from>
    <xdr:to>
      <xdr:col>3</xdr:col>
      <xdr:colOff>180975</xdr:colOff>
      <xdr:row>171</xdr:row>
      <xdr:rowOff>800100</xdr:rowOff>
    </xdr:to>
    <xdr:sp macro="" textlink="">
      <xdr:nvSpPr>
        <xdr:cNvPr id="302" name="Имя " descr="Descr 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172</xdr:row>
      <xdr:rowOff>647700</xdr:rowOff>
    </xdr:from>
    <xdr:to>
      <xdr:col>3</xdr:col>
      <xdr:colOff>180975</xdr:colOff>
      <xdr:row>172</xdr:row>
      <xdr:rowOff>800100</xdr:rowOff>
    </xdr:to>
    <xdr:sp macro="" textlink="">
      <xdr:nvSpPr>
        <xdr:cNvPr id="304" name="Имя " descr="Descr 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173</xdr:row>
      <xdr:rowOff>647700</xdr:rowOff>
    </xdr:from>
    <xdr:to>
      <xdr:col>3</xdr:col>
      <xdr:colOff>180975</xdr:colOff>
      <xdr:row>173</xdr:row>
      <xdr:rowOff>800100</xdr:rowOff>
    </xdr:to>
    <xdr:sp macro="" textlink="">
      <xdr:nvSpPr>
        <xdr:cNvPr id="306" name="Имя " descr="Descr 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174</xdr:row>
      <xdr:rowOff>647700</xdr:rowOff>
    </xdr:from>
    <xdr:to>
      <xdr:col>3</xdr:col>
      <xdr:colOff>180975</xdr:colOff>
      <xdr:row>174</xdr:row>
      <xdr:rowOff>800100</xdr:rowOff>
    </xdr:to>
    <xdr:sp macro="" textlink="">
      <xdr:nvSpPr>
        <xdr:cNvPr id="308" name="Имя " descr="Descr 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175</xdr:row>
      <xdr:rowOff>647700</xdr:rowOff>
    </xdr:from>
    <xdr:to>
      <xdr:col>3</xdr:col>
      <xdr:colOff>180975</xdr:colOff>
      <xdr:row>175</xdr:row>
      <xdr:rowOff>800100</xdr:rowOff>
    </xdr:to>
    <xdr:sp macro="" textlink="">
      <xdr:nvSpPr>
        <xdr:cNvPr id="310" name="Имя " descr="Descr 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176</xdr:row>
      <xdr:rowOff>647700</xdr:rowOff>
    </xdr:from>
    <xdr:to>
      <xdr:col>3</xdr:col>
      <xdr:colOff>180975</xdr:colOff>
      <xdr:row>176</xdr:row>
      <xdr:rowOff>800100</xdr:rowOff>
    </xdr:to>
    <xdr:sp macro="" textlink="">
      <xdr:nvSpPr>
        <xdr:cNvPr id="312" name="Имя " descr="Descr 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177</xdr:row>
      <xdr:rowOff>647700</xdr:rowOff>
    </xdr:from>
    <xdr:to>
      <xdr:col>3</xdr:col>
      <xdr:colOff>180975</xdr:colOff>
      <xdr:row>177</xdr:row>
      <xdr:rowOff>800100</xdr:rowOff>
    </xdr:to>
    <xdr:sp macro="" textlink="">
      <xdr:nvSpPr>
        <xdr:cNvPr id="314" name="Имя " descr="Descr 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178</xdr:row>
      <xdr:rowOff>647700</xdr:rowOff>
    </xdr:from>
    <xdr:to>
      <xdr:col>3</xdr:col>
      <xdr:colOff>180975</xdr:colOff>
      <xdr:row>178</xdr:row>
      <xdr:rowOff>800100</xdr:rowOff>
    </xdr:to>
    <xdr:sp macro="" textlink="">
      <xdr:nvSpPr>
        <xdr:cNvPr id="316" name="Имя " descr="Descr 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179</xdr:row>
      <xdr:rowOff>647700</xdr:rowOff>
    </xdr:from>
    <xdr:to>
      <xdr:col>3</xdr:col>
      <xdr:colOff>180975</xdr:colOff>
      <xdr:row>179</xdr:row>
      <xdr:rowOff>800100</xdr:rowOff>
    </xdr:to>
    <xdr:sp macro="" textlink="">
      <xdr:nvSpPr>
        <xdr:cNvPr id="318" name="Имя " descr="Descr 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180</xdr:row>
      <xdr:rowOff>647700</xdr:rowOff>
    </xdr:from>
    <xdr:to>
      <xdr:col>3</xdr:col>
      <xdr:colOff>180975</xdr:colOff>
      <xdr:row>180</xdr:row>
      <xdr:rowOff>800100</xdr:rowOff>
    </xdr:to>
    <xdr:sp macro="" textlink="">
      <xdr:nvSpPr>
        <xdr:cNvPr id="320" name="Имя " descr="Descr 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183</xdr:row>
      <xdr:rowOff>647700</xdr:rowOff>
    </xdr:from>
    <xdr:to>
      <xdr:col>3</xdr:col>
      <xdr:colOff>180975</xdr:colOff>
      <xdr:row>183</xdr:row>
      <xdr:rowOff>800100</xdr:rowOff>
    </xdr:to>
    <xdr:sp macro="" textlink="">
      <xdr:nvSpPr>
        <xdr:cNvPr id="322" name="Имя " descr="Descr 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184</xdr:row>
      <xdr:rowOff>647700</xdr:rowOff>
    </xdr:from>
    <xdr:to>
      <xdr:col>3</xdr:col>
      <xdr:colOff>180975</xdr:colOff>
      <xdr:row>184</xdr:row>
      <xdr:rowOff>800100</xdr:rowOff>
    </xdr:to>
    <xdr:sp macro="" textlink="">
      <xdr:nvSpPr>
        <xdr:cNvPr id="324" name="Имя " descr="Descr 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185</xdr:row>
      <xdr:rowOff>647700</xdr:rowOff>
    </xdr:from>
    <xdr:to>
      <xdr:col>3</xdr:col>
      <xdr:colOff>180975</xdr:colOff>
      <xdr:row>185</xdr:row>
      <xdr:rowOff>800100</xdr:rowOff>
    </xdr:to>
    <xdr:sp macro="" textlink="">
      <xdr:nvSpPr>
        <xdr:cNvPr id="326" name="Имя " descr="Descr 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186</xdr:row>
      <xdr:rowOff>647700</xdr:rowOff>
    </xdr:from>
    <xdr:to>
      <xdr:col>3</xdr:col>
      <xdr:colOff>180975</xdr:colOff>
      <xdr:row>186</xdr:row>
      <xdr:rowOff>800100</xdr:rowOff>
    </xdr:to>
    <xdr:sp macro="" textlink="">
      <xdr:nvSpPr>
        <xdr:cNvPr id="328" name="Имя " descr="Descr 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187</xdr:row>
      <xdr:rowOff>647700</xdr:rowOff>
    </xdr:from>
    <xdr:to>
      <xdr:col>3</xdr:col>
      <xdr:colOff>180975</xdr:colOff>
      <xdr:row>187</xdr:row>
      <xdr:rowOff>800100</xdr:rowOff>
    </xdr:to>
    <xdr:sp macro="" textlink="">
      <xdr:nvSpPr>
        <xdr:cNvPr id="330" name="Имя " descr="Descr 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189</xdr:row>
      <xdr:rowOff>647700</xdr:rowOff>
    </xdr:from>
    <xdr:to>
      <xdr:col>3</xdr:col>
      <xdr:colOff>180975</xdr:colOff>
      <xdr:row>189</xdr:row>
      <xdr:rowOff>800100</xdr:rowOff>
    </xdr:to>
    <xdr:sp macro="" textlink="">
      <xdr:nvSpPr>
        <xdr:cNvPr id="332" name="Имя " descr="Descr 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190</xdr:row>
      <xdr:rowOff>647700</xdr:rowOff>
    </xdr:from>
    <xdr:to>
      <xdr:col>3</xdr:col>
      <xdr:colOff>180975</xdr:colOff>
      <xdr:row>190</xdr:row>
      <xdr:rowOff>800100</xdr:rowOff>
    </xdr:to>
    <xdr:sp macro="" textlink="">
      <xdr:nvSpPr>
        <xdr:cNvPr id="334" name="Имя " descr="Descr 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192</xdr:row>
      <xdr:rowOff>647700</xdr:rowOff>
    </xdr:from>
    <xdr:to>
      <xdr:col>3</xdr:col>
      <xdr:colOff>180975</xdr:colOff>
      <xdr:row>192</xdr:row>
      <xdr:rowOff>800100</xdr:rowOff>
    </xdr:to>
    <xdr:sp macro="" textlink="">
      <xdr:nvSpPr>
        <xdr:cNvPr id="336" name="Имя " descr="Descr 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193</xdr:row>
      <xdr:rowOff>647700</xdr:rowOff>
    </xdr:from>
    <xdr:to>
      <xdr:col>3</xdr:col>
      <xdr:colOff>180975</xdr:colOff>
      <xdr:row>193</xdr:row>
      <xdr:rowOff>800100</xdr:rowOff>
    </xdr:to>
    <xdr:sp macro="" textlink="">
      <xdr:nvSpPr>
        <xdr:cNvPr id="338" name="Имя " descr="Descr 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194</xdr:row>
      <xdr:rowOff>647700</xdr:rowOff>
    </xdr:from>
    <xdr:to>
      <xdr:col>3</xdr:col>
      <xdr:colOff>180975</xdr:colOff>
      <xdr:row>194</xdr:row>
      <xdr:rowOff>800100</xdr:rowOff>
    </xdr:to>
    <xdr:sp macro="" textlink="">
      <xdr:nvSpPr>
        <xdr:cNvPr id="340" name="Имя " descr="Descr 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195</xdr:row>
      <xdr:rowOff>647700</xdr:rowOff>
    </xdr:from>
    <xdr:to>
      <xdr:col>3</xdr:col>
      <xdr:colOff>180975</xdr:colOff>
      <xdr:row>195</xdr:row>
      <xdr:rowOff>800100</xdr:rowOff>
    </xdr:to>
    <xdr:sp macro="" textlink="">
      <xdr:nvSpPr>
        <xdr:cNvPr id="342" name="Имя " descr="Descr 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196</xdr:row>
      <xdr:rowOff>647700</xdr:rowOff>
    </xdr:from>
    <xdr:to>
      <xdr:col>3</xdr:col>
      <xdr:colOff>180975</xdr:colOff>
      <xdr:row>196</xdr:row>
      <xdr:rowOff>800100</xdr:rowOff>
    </xdr:to>
    <xdr:sp macro="" textlink="">
      <xdr:nvSpPr>
        <xdr:cNvPr id="344" name="Имя " descr="Descr 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197</xdr:row>
      <xdr:rowOff>647700</xdr:rowOff>
    </xdr:from>
    <xdr:to>
      <xdr:col>3</xdr:col>
      <xdr:colOff>180975</xdr:colOff>
      <xdr:row>197</xdr:row>
      <xdr:rowOff>800100</xdr:rowOff>
    </xdr:to>
    <xdr:sp macro="" textlink="">
      <xdr:nvSpPr>
        <xdr:cNvPr id="346" name="Имя " descr="Descr 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198</xdr:row>
      <xdr:rowOff>647700</xdr:rowOff>
    </xdr:from>
    <xdr:to>
      <xdr:col>3</xdr:col>
      <xdr:colOff>180975</xdr:colOff>
      <xdr:row>198</xdr:row>
      <xdr:rowOff>800100</xdr:rowOff>
    </xdr:to>
    <xdr:sp macro="" textlink="">
      <xdr:nvSpPr>
        <xdr:cNvPr id="348" name="Имя " descr="Descr 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199</xdr:row>
      <xdr:rowOff>647700</xdr:rowOff>
    </xdr:from>
    <xdr:to>
      <xdr:col>3</xdr:col>
      <xdr:colOff>180975</xdr:colOff>
      <xdr:row>199</xdr:row>
      <xdr:rowOff>800100</xdr:rowOff>
    </xdr:to>
    <xdr:sp macro="" textlink="">
      <xdr:nvSpPr>
        <xdr:cNvPr id="350" name="Имя " descr="Descr 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200</xdr:row>
      <xdr:rowOff>647700</xdr:rowOff>
    </xdr:from>
    <xdr:to>
      <xdr:col>3</xdr:col>
      <xdr:colOff>180975</xdr:colOff>
      <xdr:row>200</xdr:row>
      <xdr:rowOff>800100</xdr:rowOff>
    </xdr:to>
    <xdr:sp macro="" textlink="">
      <xdr:nvSpPr>
        <xdr:cNvPr id="352" name="Имя " descr="Descr 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201</xdr:row>
      <xdr:rowOff>647700</xdr:rowOff>
    </xdr:from>
    <xdr:to>
      <xdr:col>3</xdr:col>
      <xdr:colOff>180975</xdr:colOff>
      <xdr:row>201</xdr:row>
      <xdr:rowOff>800100</xdr:rowOff>
    </xdr:to>
    <xdr:sp macro="" textlink="">
      <xdr:nvSpPr>
        <xdr:cNvPr id="354" name="Имя " descr="Descr 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203</xdr:row>
      <xdr:rowOff>647700</xdr:rowOff>
    </xdr:from>
    <xdr:to>
      <xdr:col>3</xdr:col>
      <xdr:colOff>180975</xdr:colOff>
      <xdr:row>203</xdr:row>
      <xdr:rowOff>800100</xdr:rowOff>
    </xdr:to>
    <xdr:sp macro="" textlink="">
      <xdr:nvSpPr>
        <xdr:cNvPr id="356" name="Имя " descr="Descr 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204</xdr:row>
      <xdr:rowOff>647700</xdr:rowOff>
    </xdr:from>
    <xdr:to>
      <xdr:col>3</xdr:col>
      <xdr:colOff>180975</xdr:colOff>
      <xdr:row>204</xdr:row>
      <xdr:rowOff>800100</xdr:rowOff>
    </xdr:to>
    <xdr:sp macro="" textlink="">
      <xdr:nvSpPr>
        <xdr:cNvPr id="358" name="Имя " descr="Descr 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205</xdr:row>
      <xdr:rowOff>647700</xdr:rowOff>
    </xdr:from>
    <xdr:to>
      <xdr:col>3</xdr:col>
      <xdr:colOff>180975</xdr:colOff>
      <xdr:row>205</xdr:row>
      <xdr:rowOff>800100</xdr:rowOff>
    </xdr:to>
    <xdr:sp macro="" textlink="">
      <xdr:nvSpPr>
        <xdr:cNvPr id="360" name="Имя " descr="Descr 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206</xdr:row>
      <xdr:rowOff>647700</xdr:rowOff>
    </xdr:from>
    <xdr:to>
      <xdr:col>3</xdr:col>
      <xdr:colOff>180975</xdr:colOff>
      <xdr:row>206</xdr:row>
      <xdr:rowOff>800100</xdr:rowOff>
    </xdr:to>
    <xdr:sp macro="" textlink="">
      <xdr:nvSpPr>
        <xdr:cNvPr id="362" name="Имя " descr="Descr 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207</xdr:row>
      <xdr:rowOff>647700</xdr:rowOff>
    </xdr:from>
    <xdr:to>
      <xdr:col>3</xdr:col>
      <xdr:colOff>180975</xdr:colOff>
      <xdr:row>207</xdr:row>
      <xdr:rowOff>800100</xdr:rowOff>
    </xdr:to>
    <xdr:sp macro="" textlink="">
      <xdr:nvSpPr>
        <xdr:cNvPr id="364" name="Имя " descr="Descr 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208</xdr:row>
      <xdr:rowOff>647700</xdr:rowOff>
    </xdr:from>
    <xdr:to>
      <xdr:col>3</xdr:col>
      <xdr:colOff>180975</xdr:colOff>
      <xdr:row>208</xdr:row>
      <xdr:rowOff>800100</xdr:rowOff>
    </xdr:to>
    <xdr:sp macro="" textlink="">
      <xdr:nvSpPr>
        <xdr:cNvPr id="366" name="Имя " descr="Descr 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209</xdr:row>
      <xdr:rowOff>647700</xdr:rowOff>
    </xdr:from>
    <xdr:to>
      <xdr:col>3</xdr:col>
      <xdr:colOff>180975</xdr:colOff>
      <xdr:row>209</xdr:row>
      <xdr:rowOff>800100</xdr:rowOff>
    </xdr:to>
    <xdr:sp macro="" textlink="">
      <xdr:nvSpPr>
        <xdr:cNvPr id="368" name="Имя " descr="Descr 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210</xdr:row>
      <xdr:rowOff>647700</xdr:rowOff>
    </xdr:from>
    <xdr:to>
      <xdr:col>3</xdr:col>
      <xdr:colOff>180975</xdr:colOff>
      <xdr:row>210</xdr:row>
      <xdr:rowOff>800100</xdr:rowOff>
    </xdr:to>
    <xdr:sp macro="" textlink="">
      <xdr:nvSpPr>
        <xdr:cNvPr id="370" name="Имя " descr="Descr 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211</xdr:row>
      <xdr:rowOff>647700</xdr:rowOff>
    </xdr:from>
    <xdr:to>
      <xdr:col>3</xdr:col>
      <xdr:colOff>180975</xdr:colOff>
      <xdr:row>211</xdr:row>
      <xdr:rowOff>800100</xdr:rowOff>
    </xdr:to>
    <xdr:sp macro="" textlink="">
      <xdr:nvSpPr>
        <xdr:cNvPr id="372" name="Имя " descr="Descr 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212</xdr:row>
      <xdr:rowOff>647700</xdr:rowOff>
    </xdr:from>
    <xdr:to>
      <xdr:col>3</xdr:col>
      <xdr:colOff>180975</xdr:colOff>
      <xdr:row>212</xdr:row>
      <xdr:rowOff>800100</xdr:rowOff>
    </xdr:to>
    <xdr:sp macro="" textlink="">
      <xdr:nvSpPr>
        <xdr:cNvPr id="374" name="Имя " descr="Descr 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213</xdr:row>
      <xdr:rowOff>647700</xdr:rowOff>
    </xdr:from>
    <xdr:to>
      <xdr:col>3</xdr:col>
      <xdr:colOff>180975</xdr:colOff>
      <xdr:row>213</xdr:row>
      <xdr:rowOff>800100</xdr:rowOff>
    </xdr:to>
    <xdr:sp macro="" textlink="">
      <xdr:nvSpPr>
        <xdr:cNvPr id="376" name="Имя " descr="Descr 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214</xdr:row>
      <xdr:rowOff>647700</xdr:rowOff>
    </xdr:from>
    <xdr:to>
      <xdr:col>3</xdr:col>
      <xdr:colOff>180975</xdr:colOff>
      <xdr:row>214</xdr:row>
      <xdr:rowOff>800100</xdr:rowOff>
    </xdr:to>
    <xdr:sp macro="" textlink="">
      <xdr:nvSpPr>
        <xdr:cNvPr id="378" name="Имя " descr="Descr 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215</xdr:row>
      <xdr:rowOff>647700</xdr:rowOff>
    </xdr:from>
    <xdr:to>
      <xdr:col>3</xdr:col>
      <xdr:colOff>180975</xdr:colOff>
      <xdr:row>215</xdr:row>
      <xdr:rowOff>800100</xdr:rowOff>
    </xdr:to>
    <xdr:sp macro="" textlink="">
      <xdr:nvSpPr>
        <xdr:cNvPr id="380" name="Имя " descr="Descr 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216</xdr:row>
      <xdr:rowOff>647700</xdr:rowOff>
    </xdr:from>
    <xdr:to>
      <xdr:col>3</xdr:col>
      <xdr:colOff>180975</xdr:colOff>
      <xdr:row>216</xdr:row>
      <xdr:rowOff>800100</xdr:rowOff>
    </xdr:to>
    <xdr:sp macro="" textlink="">
      <xdr:nvSpPr>
        <xdr:cNvPr id="382" name="Имя " descr="Descr 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217</xdr:row>
      <xdr:rowOff>647700</xdr:rowOff>
    </xdr:from>
    <xdr:to>
      <xdr:col>3</xdr:col>
      <xdr:colOff>180975</xdr:colOff>
      <xdr:row>217</xdr:row>
      <xdr:rowOff>800100</xdr:rowOff>
    </xdr:to>
    <xdr:sp macro="" textlink="">
      <xdr:nvSpPr>
        <xdr:cNvPr id="384" name="Имя " descr="Descr 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218</xdr:row>
      <xdr:rowOff>647700</xdr:rowOff>
    </xdr:from>
    <xdr:to>
      <xdr:col>3</xdr:col>
      <xdr:colOff>180975</xdr:colOff>
      <xdr:row>218</xdr:row>
      <xdr:rowOff>800100</xdr:rowOff>
    </xdr:to>
    <xdr:sp macro="" textlink="">
      <xdr:nvSpPr>
        <xdr:cNvPr id="386" name="Имя " descr="Descr 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219</xdr:row>
      <xdr:rowOff>647700</xdr:rowOff>
    </xdr:from>
    <xdr:to>
      <xdr:col>3</xdr:col>
      <xdr:colOff>180975</xdr:colOff>
      <xdr:row>219</xdr:row>
      <xdr:rowOff>800100</xdr:rowOff>
    </xdr:to>
    <xdr:sp macro="" textlink="">
      <xdr:nvSpPr>
        <xdr:cNvPr id="388" name="Имя " descr="Descr 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220</xdr:row>
      <xdr:rowOff>647700</xdr:rowOff>
    </xdr:from>
    <xdr:to>
      <xdr:col>3</xdr:col>
      <xdr:colOff>180975</xdr:colOff>
      <xdr:row>220</xdr:row>
      <xdr:rowOff>800100</xdr:rowOff>
    </xdr:to>
    <xdr:sp macro="" textlink="">
      <xdr:nvSpPr>
        <xdr:cNvPr id="390" name="Имя " descr="Descr 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221</xdr:row>
      <xdr:rowOff>647700</xdr:rowOff>
    </xdr:from>
    <xdr:to>
      <xdr:col>3</xdr:col>
      <xdr:colOff>180975</xdr:colOff>
      <xdr:row>221</xdr:row>
      <xdr:rowOff>800100</xdr:rowOff>
    </xdr:to>
    <xdr:sp macro="" textlink="">
      <xdr:nvSpPr>
        <xdr:cNvPr id="392" name="Имя " descr="Descr 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222</xdr:row>
      <xdr:rowOff>647700</xdr:rowOff>
    </xdr:from>
    <xdr:to>
      <xdr:col>3</xdr:col>
      <xdr:colOff>180975</xdr:colOff>
      <xdr:row>222</xdr:row>
      <xdr:rowOff>800100</xdr:rowOff>
    </xdr:to>
    <xdr:sp macro="" textlink="">
      <xdr:nvSpPr>
        <xdr:cNvPr id="394" name="Имя " descr="Descr 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223</xdr:row>
      <xdr:rowOff>647700</xdr:rowOff>
    </xdr:from>
    <xdr:to>
      <xdr:col>3</xdr:col>
      <xdr:colOff>180975</xdr:colOff>
      <xdr:row>223</xdr:row>
      <xdr:rowOff>800100</xdr:rowOff>
    </xdr:to>
    <xdr:sp macro="" textlink="">
      <xdr:nvSpPr>
        <xdr:cNvPr id="396" name="Имя " descr="Descr 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224</xdr:row>
      <xdr:rowOff>647700</xdr:rowOff>
    </xdr:from>
    <xdr:to>
      <xdr:col>3</xdr:col>
      <xdr:colOff>180975</xdr:colOff>
      <xdr:row>224</xdr:row>
      <xdr:rowOff>800100</xdr:rowOff>
    </xdr:to>
    <xdr:sp macro="" textlink="">
      <xdr:nvSpPr>
        <xdr:cNvPr id="398" name="Имя " descr="Descr 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225</xdr:row>
      <xdr:rowOff>647700</xdr:rowOff>
    </xdr:from>
    <xdr:to>
      <xdr:col>3</xdr:col>
      <xdr:colOff>180975</xdr:colOff>
      <xdr:row>225</xdr:row>
      <xdr:rowOff>800100</xdr:rowOff>
    </xdr:to>
    <xdr:sp macro="" textlink="">
      <xdr:nvSpPr>
        <xdr:cNvPr id="400" name="Имя " descr="Descr 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226</xdr:row>
      <xdr:rowOff>647700</xdr:rowOff>
    </xdr:from>
    <xdr:to>
      <xdr:col>3</xdr:col>
      <xdr:colOff>180975</xdr:colOff>
      <xdr:row>226</xdr:row>
      <xdr:rowOff>800100</xdr:rowOff>
    </xdr:to>
    <xdr:sp macro="" textlink="">
      <xdr:nvSpPr>
        <xdr:cNvPr id="402" name="Имя " descr="Descr 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227</xdr:row>
      <xdr:rowOff>647700</xdr:rowOff>
    </xdr:from>
    <xdr:to>
      <xdr:col>3</xdr:col>
      <xdr:colOff>180975</xdr:colOff>
      <xdr:row>227</xdr:row>
      <xdr:rowOff>800100</xdr:rowOff>
    </xdr:to>
    <xdr:sp macro="" textlink="">
      <xdr:nvSpPr>
        <xdr:cNvPr id="404" name="Имя " descr="Descr 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228</xdr:row>
      <xdr:rowOff>647700</xdr:rowOff>
    </xdr:from>
    <xdr:to>
      <xdr:col>3</xdr:col>
      <xdr:colOff>180975</xdr:colOff>
      <xdr:row>228</xdr:row>
      <xdr:rowOff>800100</xdr:rowOff>
    </xdr:to>
    <xdr:sp macro="" textlink="">
      <xdr:nvSpPr>
        <xdr:cNvPr id="406" name="Имя " descr="Descr 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229</xdr:row>
      <xdr:rowOff>647700</xdr:rowOff>
    </xdr:from>
    <xdr:to>
      <xdr:col>3</xdr:col>
      <xdr:colOff>180975</xdr:colOff>
      <xdr:row>229</xdr:row>
      <xdr:rowOff>800100</xdr:rowOff>
    </xdr:to>
    <xdr:sp macro="" textlink="">
      <xdr:nvSpPr>
        <xdr:cNvPr id="408" name="Имя " descr="Descr 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230</xdr:row>
      <xdr:rowOff>647700</xdr:rowOff>
    </xdr:from>
    <xdr:to>
      <xdr:col>3</xdr:col>
      <xdr:colOff>180975</xdr:colOff>
      <xdr:row>230</xdr:row>
      <xdr:rowOff>800100</xdr:rowOff>
    </xdr:to>
    <xdr:sp macro="" textlink="">
      <xdr:nvSpPr>
        <xdr:cNvPr id="410" name="Имя " descr="Descr 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231</xdr:row>
      <xdr:rowOff>647700</xdr:rowOff>
    </xdr:from>
    <xdr:to>
      <xdr:col>3</xdr:col>
      <xdr:colOff>180975</xdr:colOff>
      <xdr:row>231</xdr:row>
      <xdr:rowOff>800100</xdr:rowOff>
    </xdr:to>
    <xdr:sp macro="" textlink="">
      <xdr:nvSpPr>
        <xdr:cNvPr id="412" name="Имя " descr="Descr 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234</xdr:row>
      <xdr:rowOff>647700</xdr:rowOff>
    </xdr:from>
    <xdr:to>
      <xdr:col>3</xdr:col>
      <xdr:colOff>180975</xdr:colOff>
      <xdr:row>234</xdr:row>
      <xdr:rowOff>800100</xdr:rowOff>
    </xdr:to>
    <xdr:sp macro="" textlink="">
      <xdr:nvSpPr>
        <xdr:cNvPr id="414" name="Имя " descr="Descr 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235</xdr:row>
      <xdr:rowOff>647700</xdr:rowOff>
    </xdr:from>
    <xdr:to>
      <xdr:col>3</xdr:col>
      <xdr:colOff>180975</xdr:colOff>
      <xdr:row>235</xdr:row>
      <xdr:rowOff>800100</xdr:rowOff>
    </xdr:to>
    <xdr:sp macro="" textlink="">
      <xdr:nvSpPr>
        <xdr:cNvPr id="416" name="Имя " descr="Descr 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236</xdr:row>
      <xdr:rowOff>647700</xdr:rowOff>
    </xdr:from>
    <xdr:to>
      <xdr:col>3</xdr:col>
      <xdr:colOff>180975</xdr:colOff>
      <xdr:row>236</xdr:row>
      <xdr:rowOff>800100</xdr:rowOff>
    </xdr:to>
    <xdr:sp macro="" textlink="">
      <xdr:nvSpPr>
        <xdr:cNvPr id="418" name="Имя " descr="Descr 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238</xdr:row>
      <xdr:rowOff>647700</xdr:rowOff>
    </xdr:from>
    <xdr:to>
      <xdr:col>3</xdr:col>
      <xdr:colOff>180975</xdr:colOff>
      <xdr:row>238</xdr:row>
      <xdr:rowOff>800100</xdr:rowOff>
    </xdr:to>
    <xdr:sp macro="" textlink="">
      <xdr:nvSpPr>
        <xdr:cNvPr id="420" name="Имя " descr="Descr 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239</xdr:row>
      <xdr:rowOff>647700</xdr:rowOff>
    </xdr:from>
    <xdr:to>
      <xdr:col>3</xdr:col>
      <xdr:colOff>180975</xdr:colOff>
      <xdr:row>239</xdr:row>
      <xdr:rowOff>800100</xdr:rowOff>
    </xdr:to>
    <xdr:sp macro="" textlink="">
      <xdr:nvSpPr>
        <xdr:cNvPr id="422" name="Имя " descr="Descr 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240</xdr:row>
      <xdr:rowOff>647700</xdr:rowOff>
    </xdr:from>
    <xdr:to>
      <xdr:col>3</xdr:col>
      <xdr:colOff>180975</xdr:colOff>
      <xdr:row>240</xdr:row>
      <xdr:rowOff>800100</xdr:rowOff>
    </xdr:to>
    <xdr:sp macro="" textlink="">
      <xdr:nvSpPr>
        <xdr:cNvPr id="424" name="Имя " descr="Descr 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241</xdr:row>
      <xdr:rowOff>647700</xdr:rowOff>
    </xdr:from>
    <xdr:to>
      <xdr:col>3</xdr:col>
      <xdr:colOff>180975</xdr:colOff>
      <xdr:row>241</xdr:row>
      <xdr:rowOff>800100</xdr:rowOff>
    </xdr:to>
    <xdr:sp macro="" textlink="">
      <xdr:nvSpPr>
        <xdr:cNvPr id="426" name="Имя " descr="Descr 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242</xdr:row>
      <xdr:rowOff>647700</xdr:rowOff>
    </xdr:from>
    <xdr:to>
      <xdr:col>3</xdr:col>
      <xdr:colOff>180975</xdr:colOff>
      <xdr:row>242</xdr:row>
      <xdr:rowOff>800100</xdr:rowOff>
    </xdr:to>
    <xdr:sp macro="" textlink="">
      <xdr:nvSpPr>
        <xdr:cNvPr id="428" name="Имя " descr="Descr 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243</xdr:row>
      <xdr:rowOff>647700</xdr:rowOff>
    </xdr:from>
    <xdr:to>
      <xdr:col>3</xdr:col>
      <xdr:colOff>180975</xdr:colOff>
      <xdr:row>243</xdr:row>
      <xdr:rowOff>800100</xdr:rowOff>
    </xdr:to>
    <xdr:sp macro="" textlink="">
      <xdr:nvSpPr>
        <xdr:cNvPr id="430" name="Имя " descr="Descr 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245</xdr:row>
      <xdr:rowOff>647700</xdr:rowOff>
    </xdr:from>
    <xdr:to>
      <xdr:col>3</xdr:col>
      <xdr:colOff>180975</xdr:colOff>
      <xdr:row>245</xdr:row>
      <xdr:rowOff>800100</xdr:rowOff>
    </xdr:to>
    <xdr:sp macro="" textlink="">
      <xdr:nvSpPr>
        <xdr:cNvPr id="432" name="Имя " descr="Descr 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248</xdr:row>
      <xdr:rowOff>647700</xdr:rowOff>
    </xdr:from>
    <xdr:to>
      <xdr:col>3</xdr:col>
      <xdr:colOff>180975</xdr:colOff>
      <xdr:row>248</xdr:row>
      <xdr:rowOff>800100</xdr:rowOff>
    </xdr:to>
    <xdr:sp macro="" textlink="">
      <xdr:nvSpPr>
        <xdr:cNvPr id="434" name="Имя " descr="Descr 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249</xdr:row>
      <xdr:rowOff>647700</xdr:rowOff>
    </xdr:from>
    <xdr:to>
      <xdr:col>3</xdr:col>
      <xdr:colOff>180975</xdr:colOff>
      <xdr:row>249</xdr:row>
      <xdr:rowOff>800100</xdr:rowOff>
    </xdr:to>
    <xdr:sp macro="" textlink="">
      <xdr:nvSpPr>
        <xdr:cNvPr id="436" name="Имя " descr="Descr 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250</xdr:row>
      <xdr:rowOff>647700</xdr:rowOff>
    </xdr:from>
    <xdr:to>
      <xdr:col>3</xdr:col>
      <xdr:colOff>180975</xdr:colOff>
      <xdr:row>250</xdr:row>
      <xdr:rowOff>800100</xdr:rowOff>
    </xdr:to>
    <xdr:sp macro="" textlink="">
      <xdr:nvSpPr>
        <xdr:cNvPr id="438" name="Имя " descr="Descr 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251</xdr:row>
      <xdr:rowOff>647700</xdr:rowOff>
    </xdr:from>
    <xdr:to>
      <xdr:col>3</xdr:col>
      <xdr:colOff>180975</xdr:colOff>
      <xdr:row>251</xdr:row>
      <xdr:rowOff>800100</xdr:rowOff>
    </xdr:to>
    <xdr:sp macro="" textlink="">
      <xdr:nvSpPr>
        <xdr:cNvPr id="440" name="Имя " descr="Descr 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252</xdr:row>
      <xdr:rowOff>647700</xdr:rowOff>
    </xdr:from>
    <xdr:to>
      <xdr:col>3</xdr:col>
      <xdr:colOff>180975</xdr:colOff>
      <xdr:row>252</xdr:row>
      <xdr:rowOff>800100</xdr:rowOff>
    </xdr:to>
    <xdr:sp macro="" textlink="">
      <xdr:nvSpPr>
        <xdr:cNvPr id="442" name="Имя " descr="Descr 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253</xdr:row>
      <xdr:rowOff>647700</xdr:rowOff>
    </xdr:from>
    <xdr:to>
      <xdr:col>3</xdr:col>
      <xdr:colOff>180975</xdr:colOff>
      <xdr:row>253</xdr:row>
      <xdr:rowOff>800100</xdr:rowOff>
    </xdr:to>
    <xdr:sp macro="" textlink="">
      <xdr:nvSpPr>
        <xdr:cNvPr id="444" name="Имя " descr="Descr 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256</xdr:row>
      <xdr:rowOff>647700</xdr:rowOff>
    </xdr:from>
    <xdr:to>
      <xdr:col>3</xdr:col>
      <xdr:colOff>180975</xdr:colOff>
      <xdr:row>256</xdr:row>
      <xdr:rowOff>800100</xdr:rowOff>
    </xdr:to>
    <xdr:sp macro="" textlink="">
      <xdr:nvSpPr>
        <xdr:cNvPr id="446" name="Имя " descr="Descr 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257</xdr:row>
      <xdr:rowOff>647700</xdr:rowOff>
    </xdr:from>
    <xdr:to>
      <xdr:col>3</xdr:col>
      <xdr:colOff>180975</xdr:colOff>
      <xdr:row>257</xdr:row>
      <xdr:rowOff>800100</xdr:rowOff>
    </xdr:to>
    <xdr:sp macro="" textlink="">
      <xdr:nvSpPr>
        <xdr:cNvPr id="448" name="Имя " descr="Descr 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258</xdr:row>
      <xdr:rowOff>647700</xdr:rowOff>
    </xdr:from>
    <xdr:to>
      <xdr:col>3</xdr:col>
      <xdr:colOff>180975</xdr:colOff>
      <xdr:row>258</xdr:row>
      <xdr:rowOff>800100</xdr:rowOff>
    </xdr:to>
    <xdr:sp macro="" textlink="">
      <xdr:nvSpPr>
        <xdr:cNvPr id="450" name="Имя " descr="Descr 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259</xdr:row>
      <xdr:rowOff>647700</xdr:rowOff>
    </xdr:from>
    <xdr:to>
      <xdr:col>3</xdr:col>
      <xdr:colOff>180975</xdr:colOff>
      <xdr:row>259</xdr:row>
      <xdr:rowOff>800100</xdr:rowOff>
    </xdr:to>
    <xdr:sp macro="" textlink="">
      <xdr:nvSpPr>
        <xdr:cNvPr id="452" name="Имя " descr="Descr 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261</xdr:row>
      <xdr:rowOff>647700</xdr:rowOff>
    </xdr:from>
    <xdr:to>
      <xdr:col>3</xdr:col>
      <xdr:colOff>180975</xdr:colOff>
      <xdr:row>261</xdr:row>
      <xdr:rowOff>800100</xdr:rowOff>
    </xdr:to>
    <xdr:sp macro="" textlink="">
      <xdr:nvSpPr>
        <xdr:cNvPr id="454" name="Имя " descr="Descr 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262</xdr:row>
      <xdr:rowOff>647700</xdr:rowOff>
    </xdr:from>
    <xdr:to>
      <xdr:col>3</xdr:col>
      <xdr:colOff>180975</xdr:colOff>
      <xdr:row>262</xdr:row>
      <xdr:rowOff>800100</xdr:rowOff>
    </xdr:to>
    <xdr:sp macro="" textlink="">
      <xdr:nvSpPr>
        <xdr:cNvPr id="456" name="Имя " descr="Descr 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263</xdr:row>
      <xdr:rowOff>647700</xdr:rowOff>
    </xdr:from>
    <xdr:to>
      <xdr:col>3</xdr:col>
      <xdr:colOff>180975</xdr:colOff>
      <xdr:row>263</xdr:row>
      <xdr:rowOff>800100</xdr:rowOff>
    </xdr:to>
    <xdr:sp macro="" textlink="">
      <xdr:nvSpPr>
        <xdr:cNvPr id="458" name="Имя " descr="Descr 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264</xdr:row>
      <xdr:rowOff>647700</xdr:rowOff>
    </xdr:from>
    <xdr:to>
      <xdr:col>3</xdr:col>
      <xdr:colOff>180975</xdr:colOff>
      <xdr:row>264</xdr:row>
      <xdr:rowOff>800100</xdr:rowOff>
    </xdr:to>
    <xdr:sp macro="" textlink="">
      <xdr:nvSpPr>
        <xdr:cNvPr id="460" name="Имя " descr="Descr 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265</xdr:row>
      <xdr:rowOff>647700</xdr:rowOff>
    </xdr:from>
    <xdr:to>
      <xdr:col>3</xdr:col>
      <xdr:colOff>180975</xdr:colOff>
      <xdr:row>265</xdr:row>
      <xdr:rowOff>800100</xdr:rowOff>
    </xdr:to>
    <xdr:sp macro="" textlink="">
      <xdr:nvSpPr>
        <xdr:cNvPr id="462" name="Имя " descr="Descr 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267</xdr:row>
      <xdr:rowOff>647700</xdr:rowOff>
    </xdr:from>
    <xdr:to>
      <xdr:col>3</xdr:col>
      <xdr:colOff>180975</xdr:colOff>
      <xdr:row>267</xdr:row>
      <xdr:rowOff>800100</xdr:rowOff>
    </xdr:to>
    <xdr:sp macro="" textlink="">
      <xdr:nvSpPr>
        <xdr:cNvPr id="464" name="Имя " descr="Descr 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268</xdr:row>
      <xdr:rowOff>647700</xdr:rowOff>
    </xdr:from>
    <xdr:to>
      <xdr:col>3</xdr:col>
      <xdr:colOff>180975</xdr:colOff>
      <xdr:row>268</xdr:row>
      <xdr:rowOff>800100</xdr:rowOff>
    </xdr:to>
    <xdr:sp macro="" textlink="">
      <xdr:nvSpPr>
        <xdr:cNvPr id="466" name="Имя " descr="Descr 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269</xdr:row>
      <xdr:rowOff>647700</xdr:rowOff>
    </xdr:from>
    <xdr:to>
      <xdr:col>3</xdr:col>
      <xdr:colOff>180975</xdr:colOff>
      <xdr:row>269</xdr:row>
      <xdr:rowOff>800100</xdr:rowOff>
    </xdr:to>
    <xdr:sp macro="" textlink="">
      <xdr:nvSpPr>
        <xdr:cNvPr id="468" name="Имя " descr="Descr 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270</xdr:row>
      <xdr:rowOff>647700</xdr:rowOff>
    </xdr:from>
    <xdr:to>
      <xdr:col>3</xdr:col>
      <xdr:colOff>180975</xdr:colOff>
      <xdr:row>270</xdr:row>
      <xdr:rowOff>800100</xdr:rowOff>
    </xdr:to>
    <xdr:sp macro="" textlink="">
      <xdr:nvSpPr>
        <xdr:cNvPr id="470" name="Имя " descr="Descr 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273</xdr:row>
      <xdr:rowOff>647700</xdr:rowOff>
    </xdr:from>
    <xdr:to>
      <xdr:col>3</xdr:col>
      <xdr:colOff>180975</xdr:colOff>
      <xdr:row>273</xdr:row>
      <xdr:rowOff>800100</xdr:rowOff>
    </xdr:to>
    <xdr:sp macro="" textlink="">
      <xdr:nvSpPr>
        <xdr:cNvPr id="472" name="Имя " descr="Descr 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274</xdr:row>
      <xdr:rowOff>647700</xdr:rowOff>
    </xdr:from>
    <xdr:to>
      <xdr:col>3</xdr:col>
      <xdr:colOff>180975</xdr:colOff>
      <xdr:row>274</xdr:row>
      <xdr:rowOff>800100</xdr:rowOff>
    </xdr:to>
    <xdr:sp macro="" textlink="">
      <xdr:nvSpPr>
        <xdr:cNvPr id="474" name="Имя " descr="Descr 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275</xdr:row>
      <xdr:rowOff>647700</xdr:rowOff>
    </xdr:from>
    <xdr:to>
      <xdr:col>3</xdr:col>
      <xdr:colOff>180975</xdr:colOff>
      <xdr:row>275</xdr:row>
      <xdr:rowOff>800100</xdr:rowOff>
    </xdr:to>
    <xdr:sp macro="" textlink="">
      <xdr:nvSpPr>
        <xdr:cNvPr id="476" name="Имя " descr="Descr 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277</xdr:row>
      <xdr:rowOff>647700</xdr:rowOff>
    </xdr:from>
    <xdr:to>
      <xdr:col>3</xdr:col>
      <xdr:colOff>180975</xdr:colOff>
      <xdr:row>277</xdr:row>
      <xdr:rowOff>800100</xdr:rowOff>
    </xdr:to>
    <xdr:sp macro="" textlink="">
      <xdr:nvSpPr>
        <xdr:cNvPr id="478" name="Имя " descr="Descr 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280</xdr:row>
      <xdr:rowOff>647700</xdr:rowOff>
    </xdr:from>
    <xdr:to>
      <xdr:col>3</xdr:col>
      <xdr:colOff>180975</xdr:colOff>
      <xdr:row>280</xdr:row>
      <xdr:rowOff>800100</xdr:rowOff>
    </xdr:to>
    <xdr:sp macro="" textlink="">
      <xdr:nvSpPr>
        <xdr:cNvPr id="480" name="Имя " descr="Descr 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283</xdr:row>
      <xdr:rowOff>647700</xdr:rowOff>
    </xdr:from>
    <xdr:to>
      <xdr:col>3</xdr:col>
      <xdr:colOff>180975</xdr:colOff>
      <xdr:row>283</xdr:row>
      <xdr:rowOff>800100</xdr:rowOff>
    </xdr:to>
    <xdr:sp macro="" textlink="">
      <xdr:nvSpPr>
        <xdr:cNvPr id="482" name="Имя " descr="Descr 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284</xdr:row>
      <xdr:rowOff>647700</xdr:rowOff>
    </xdr:from>
    <xdr:to>
      <xdr:col>3</xdr:col>
      <xdr:colOff>180975</xdr:colOff>
      <xdr:row>284</xdr:row>
      <xdr:rowOff>800100</xdr:rowOff>
    </xdr:to>
    <xdr:sp macro="" textlink="">
      <xdr:nvSpPr>
        <xdr:cNvPr id="484" name="Имя " descr="Descr 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285</xdr:row>
      <xdr:rowOff>647700</xdr:rowOff>
    </xdr:from>
    <xdr:to>
      <xdr:col>3</xdr:col>
      <xdr:colOff>180975</xdr:colOff>
      <xdr:row>285</xdr:row>
      <xdr:rowOff>800100</xdr:rowOff>
    </xdr:to>
    <xdr:sp macro="" textlink="">
      <xdr:nvSpPr>
        <xdr:cNvPr id="486" name="Имя " descr="Descr 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286</xdr:row>
      <xdr:rowOff>647700</xdr:rowOff>
    </xdr:from>
    <xdr:to>
      <xdr:col>3</xdr:col>
      <xdr:colOff>180975</xdr:colOff>
      <xdr:row>286</xdr:row>
      <xdr:rowOff>800100</xdr:rowOff>
    </xdr:to>
    <xdr:sp macro="" textlink="">
      <xdr:nvSpPr>
        <xdr:cNvPr id="488" name="Имя " descr="Descr 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287</xdr:row>
      <xdr:rowOff>647700</xdr:rowOff>
    </xdr:from>
    <xdr:to>
      <xdr:col>3</xdr:col>
      <xdr:colOff>180975</xdr:colOff>
      <xdr:row>287</xdr:row>
      <xdr:rowOff>800100</xdr:rowOff>
    </xdr:to>
    <xdr:sp macro="" textlink="">
      <xdr:nvSpPr>
        <xdr:cNvPr id="490" name="Имя " descr="Descr 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288</xdr:row>
      <xdr:rowOff>647700</xdr:rowOff>
    </xdr:from>
    <xdr:to>
      <xdr:col>3</xdr:col>
      <xdr:colOff>180975</xdr:colOff>
      <xdr:row>288</xdr:row>
      <xdr:rowOff>800100</xdr:rowOff>
    </xdr:to>
    <xdr:sp macro="" textlink="">
      <xdr:nvSpPr>
        <xdr:cNvPr id="492" name="Имя " descr="Descr 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289</xdr:row>
      <xdr:rowOff>647700</xdr:rowOff>
    </xdr:from>
    <xdr:to>
      <xdr:col>3</xdr:col>
      <xdr:colOff>180975</xdr:colOff>
      <xdr:row>289</xdr:row>
      <xdr:rowOff>800100</xdr:rowOff>
    </xdr:to>
    <xdr:sp macro="" textlink="">
      <xdr:nvSpPr>
        <xdr:cNvPr id="494" name="Имя " descr="Descr 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291</xdr:row>
      <xdr:rowOff>647700</xdr:rowOff>
    </xdr:from>
    <xdr:to>
      <xdr:col>3</xdr:col>
      <xdr:colOff>180975</xdr:colOff>
      <xdr:row>291</xdr:row>
      <xdr:rowOff>800100</xdr:rowOff>
    </xdr:to>
    <xdr:sp macro="" textlink="">
      <xdr:nvSpPr>
        <xdr:cNvPr id="496" name="Имя " descr="Descr 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292</xdr:row>
      <xdr:rowOff>647700</xdr:rowOff>
    </xdr:from>
    <xdr:to>
      <xdr:col>3</xdr:col>
      <xdr:colOff>180975</xdr:colOff>
      <xdr:row>292</xdr:row>
      <xdr:rowOff>800100</xdr:rowOff>
    </xdr:to>
    <xdr:sp macro="" textlink="">
      <xdr:nvSpPr>
        <xdr:cNvPr id="498" name="Имя " descr="Descr 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294</xdr:row>
      <xdr:rowOff>647700</xdr:rowOff>
    </xdr:from>
    <xdr:to>
      <xdr:col>3</xdr:col>
      <xdr:colOff>180975</xdr:colOff>
      <xdr:row>294</xdr:row>
      <xdr:rowOff>800100</xdr:rowOff>
    </xdr:to>
    <xdr:sp macro="" textlink="">
      <xdr:nvSpPr>
        <xdr:cNvPr id="500" name="Имя " descr="Descr 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295</xdr:row>
      <xdr:rowOff>647700</xdr:rowOff>
    </xdr:from>
    <xdr:to>
      <xdr:col>3</xdr:col>
      <xdr:colOff>180975</xdr:colOff>
      <xdr:row>295</xdr:row>
      <xdr:rowOff>800100</xdr:rowOff>
    </xdr:to>
    <xdr:sp macro="" textlink="">
      <xdr:nvSpPr>
        <xdr:cNvPr id="502" name="Имя " descr="Descr 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298</xdr:row>
      <xdr:rowOff>647700</xdr:rowOff>
    </xdr:from>
    <xdr:to>
      <xdr:col>3</xdr:col>
      <xdr:colOff>180975</xdr:colOff>
      <xdr:row>298</xdr:row>
      <xdr:rowOff>800100</xdr:rowOff>
    </xdr:to>
    <xdr:sp macro="" textlink="">
      <xdr:nvSpPr>
        <xdr:cNvPr id="504" name="Имя " descr="Descr 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299</xdr:row>
      <xdr:rowOff>647700</xdr:rowOff>
    </xdr:from>
    <xdr:to>
      <xdr:col>3</xdr:col>
      <xdr:colOff>180975</xdr:colOff>
      <xdr:row>299</xdr:row>
      <xdr:rowOff>800100</xdr:rowOff>
    </xdr:to>
    <xdr:sp macro="" textlink="">
      <xdr:nvSpPr>
        <xdr:cNvPr id="506" name="Имя " descr="Descr 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300</xdr:row>
      <xdr:rowOff>647700</xdr:rowOff>
    </xdr:from>
    <xdr:to>
      <xdr:col>3</xdr:col>
      <xdr:colOff>180975</xdr:colOff>
      <xdr:row>300</xdr:row>
      <xdr:rowOff>800100</xdr:rowOff>
    </xdr:to>
    <xdr:sp macro="" textlink="">
      <xdr:nvSpPr>
        <xdr:cNvPr id="508" name="Имя " descr="Descr 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301</xdr:row>
      <xdr:rowOff>647700</xdr:rowOff>
    </xdr:from>
    <xdr:to>
      <xdr:col>3</xdr:col>
      <xdr:colOff>180975</xdr:colOff>
      <xdr:row>301</xdr:row>
      <xdr:rowOff>800100</xdr:rowOff>
    </xdr:to>
    <xdr:sp macro="" textlink="">
      <xdr:nvSpPr>
        <xdr:cNvPr id="510" name="Имя " descr="Descr 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302</xdr:row>
      <xdr:rowOff>647700</xdr:rowOff>
    </xdr:from>
    <xdr:to>
      <xdr:col>3</xdr:col>
      <xdr:colOff>180975</xdr:colOff>
      <xdr:row>302</xdr:row>
      <xdr:rowOff>800100</xdr:rowOff>
    </xdr:to>
    <xdr:sp macro="" textlink="">
      <xdr:nvSpPr>
        <xdr:cNvPr id="512" name="Имя " descr="Descr 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304</xdr:row>
      <xdr:rowOff>647700</xdr:rowOff>
    </xdr:from>
    <xdr:to>
      <xdr:col>3</xdr:col>
      <xdr:colOff>180975</xdr:colOff>
      <xdr:row>304</xdr:row>
      <xdr:rowOff>800100</xdr:rowOff>
    </xdr:to>
    <xdr:sp macro="" textlink="">
      <xdr:nvSpPr>
        <xdr:cNvPr id="514" name="Имя " descr="Descr 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305</xdr:row>
      <xdr:rowOff>647700</xdr:rowOff>
    </xdr:from>
    <xdr:to>
      <xdr:col>3</xdr:col>
      <xdr:colOff>180975</xdr:colOff>
      <xdr:row>305</xdr:row>
      <xdr:rowOff>800100</xdr:rowOff>
    </xdr:to>
    <xdr:sp macro="" textlink="">
      <xdr:nvSpPr>
        <xdr:cNvPr id="516" name="Имя " descr="Descr 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306</xdr:row>
      <xdr:rowOff>647700</xdr:rowOff>
    </xdr:from>
    <xdr:to>
      <xdr:col>3</xdr:col>
      <xdr:colOff>180975</xdr:colOff>
      <xdr:row>306</xdr:row>
      <xdr:rowOff>800100</xdr:rowOff>
    </xdr:to>
    <xdr:sp macro="" textlink="">
      <xdr:nvSpPr>
        <xdr:cNvPr id="518" name="Имя " descr="Descr 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307</xdr:row>
      <xdr:rowOff>647700</xdr:rowOff>
    </xdr:from>
    <xdr:to>
      <xdr:col>3</xdr:col>
      <xdr:colOff>180975</xdr:colOff>
      <xdr:row>307</xdr:row>
      <xdr:rowOff>800100</xdr:rowOff>
    </xdr:to>
    <xdr:sp macro="" textlink="">
      <xdr:nvSpPr>
        <xdr:cNvPr id="520" name="Имя " descr="Descr 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308</xdr:row>
      <xdr:rowOff>647700</xdr:rowOff>
    </xdr:from>
    <xdr:to>
      <xdr:col>3</xdr:col>
      <xdr:colOff>180975</xdr:colOff>
      <xdr:row>308</xdr:row>
      <xdr:rowOff>800100</xdr:rowOff>
    </xdr:to>
    <xdr:sp macro="" textlink="">
      <xdr:nvSpPr>
        <xdr:cNvPr id="522" name="Имя " descr="Descr 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309</xdr:row>
      <xdr:rowOff>647700</xdr:rowOff>
    </xdr:from>
    <xdr:to>
      <xdr:col>3</xdr:col>
      <xdr:colOff>180975</xdr:colOff>
      <xdr:row>309</xdr:row>
      <xdr:rowOff>800100</xdr:rowOff>
    </xdr:to>
    <xdr:sp macro="" textlink="">
      <xdr:nvSpPr>
        <xdr:cNvPr id="524" name="Имя " descr="Descr 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310</xdr:row>
      <xdr:rowOff>647700</xdr:rowOff>
    </xdr:from>
    <xdr:to>
      <xdr:col>3</xdr:col>
      <xdr:colOff>180975</xdr:colOff>
      <xdr:row>310</xdr:row>
      <xdr:rowOff>800100</xdr:rowOff>
    </xdr:to>
    <xdr:sp macro="" textlink="">
      <xdr:nvSpPr>
        <xdr:cNvPr id="526" name="Имя " descr="Descr 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311</xdr:row>
      <xdr:rowOff>647700</xdr:rowOff>
    </xdr:from>
    <xdr:to>
      <xdr:col>3</xdr:col>
      <xdr:colOff>180975</xdr:colOff>
      <xdr:row>311</xdr:row>
      <xdr:rowOff>800100</xdr:rowOff>
    </xdr:to>
    <xdr:sp macro="" textlink="">
      <xdr:nvSpPr>
        <xdr:cNvPr id="528" name="Имя " descr="Descr 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312</xdr:row>
      <xdr:rowOff>647700</xdr:rowOff>
    </xdr:from>
    <xdr:to>
      <xdr:col>3</xdr:col>
      <xdr:colOff>180975</xdr:colOff>
      <xdr:row>312</xdr:row>
      <xdr:rowOff>800100</xdr:rowOff>
    </xdr:to>
    <xdr:sp macro="" textlink="">
      <xdr:nvSpPr>
        <xdr:cNvPr id="530" name="Имя " descr="Descr 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313</xdr:row>
      <xdr:rowOff>647700</xdr:rowOff>
    </xdr:from>
    <xdr:to>
      <xdr:col>3</xdr:col>
      <xdr:colOff>180975</xdr:colOff>
      <xdr:row>313</xdr:row>
      <xdr:rowOff>800100</xdr:rowOff>
    </xdr:to>
    <xdr:sp macro="" textlink="">
      <xdr:nvSpPr>
        <xdr:cNvPr id="532" name="Имя " descr="Descr 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314</xdr:row>
      <xdr:rowOff>647700</xdr:rowOff>
    </xdr:from>
    <xdr:to>
      <xdr:col>3</xdr:col>
      <xdr:colOff>180975</xdr:colOff>
      <xdr:row>314</xdr:row>
      <xdr:rowOff>800100</xdr:rowOff>
    </xdr:to>
    <xdr:sp macro="" textlink="">
      <xdr:nvSpPr>
        <xdr:cNvPr id="534" name="Имя " descr="Descr 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315</xdr:row>
      <xdr:rowOff>647700</xdr:rowOff>
    </xdr:from>
    <xdr:to>
      <xdr:col>3</xdr:col>
      <xdr:colOff>180975</xdr:colOff>
      <xdr:row>315</xdr:row>
      <xdr:rowOff>800100</xdr:rowOff>
    </xdr:to>
    <xdr:sp macro="" textlink="">
      <xdr:nvSpPr>
        <xdr:cNvPr id="536" name="Имя " descr="Descr 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316</xdr:row>
      <xdr:rowOff>647700</xdr:rowOff>
    </xdr:from>
    <xdr:to>
      <xdr:col>3</xdr:col>
      <xdr:colOff>180975</xdr:colOff>
      <xdr:row>316</xdr:row>
      <xdr:rowOff>800100</xdr:rowOff>
    </xdr:to>
    <xdr:sp macro="" textlink="">
      <xdr:nvSpPr>
        <xdr:cNvPr id="538" name="Имя " descr="Descr 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317</xdr:row>
      <xdr:rowOff>647700</xdr:rowOff>
    </xdr:from>
    <xdr:to>
      <xdr:col>3</xdr:col>
      <xdr:colOff>180975</xdr:colOff>
      <xdr:row>317</xdr:row>
      <xdr:rowOff>800100</xdr:rowOff>
    </xdr:to>
    <xdr:sp macro="" textlink="">
      <xdr:nvSpPr>
        <xdr:cNvPr id="540" name="Имя " descr="Descr 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318</xdr:row>
      <xdr:rowOff>647700</xdr:rowOff>
    </xdr:from>
    <xdr:to>
      <xdr:col>3</xdr:col>
      <xdr:colOff>180975</xdr:colOff>
      <xdr:row>318</xdr:row>
      <xdr:rowOff>800100</xdr:rowOff>
    </xdr:to>
    <xdr:sp macro="" textlink="">
      <xdr:nvSpPr>
        <xdr:cNvPr id="542" name="Имя " descr="Descr 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321</xdr:row>
      <xdr:rowOff>647700</xdr:rowOff>
    </xdr:from>
    <xdr:to>
      <xdr:col>3</xdr:col>
      <xdr:colOff>180975</xdr:colOff>
      <xdr:row>321</xdr:row>
      <xdr:rowOff>800100</xdr:rowOff>
    </xdr:to>
    <xdr:sp macro="" textlink="">
      <xdr:nvSpPr>
        <xdr:cNvPr id="544" name="Имя " descr="Descr 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323</xdr:row>
      <xdr:rowOff>647700</xdr:rowOff>
    </xdr:from>
    <xdr:to>
      <xdr:col>3</xdr:col>
      <xdr:colOff>180975</xdr:colOff>
      <xdr:row>323</xdr:row>
      <xdr:rowOff>800100</xdr:rowOff>
    </xdr:to>
    <xdr:sp macro="" textlink="">
      <xdr:nvSpPr>
        <xdr:cNvPr id="546" name="Имя " descr="Descr 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324</xdr:row>
      <xdr:rowOff>647700</xdr:rowOff>
    </xdr:from>
    <xdr:to>
      <xdr:col>3</xdr:col>
      <xdr:colOff>180975</xdr:colOff>
      <xdr:row>324</xdr:row>
      <xdr:rowOff>800100</xdr:rowOff>
    </xdr:to>
    <xdr:sp macro="" textlink="">
      <xdr:nvSpPr>
        <xdr:cNvPr id="548" name="Имя " descr="Descr 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325</xdr:row>
      <xdr:rowOff>647700</xdr:rowOff>
    </xdr:from>
    <xdr:to>
      <xdr:col>3</xdr:col>
      <xdr:colOff>180975</xdr:colOff>
      <xdr:row>325</xdr:row>
      <xdr:rowOff>800100</xdr:rowOff>
    </xdr:to>
    <xdr:sp macro="" textlink="">
      <xdr:nvSpPr>
        <xdr:cNvPr id="550" name="Имя " descr="Descr 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326</xdr:row>
      <xdr:rowOff>647700</xdr:rowOff>
    </xdr:from>
    <xdr:to>
      <xdr:col>3</xdr:col>
      <xdr:colOff>180975</xdr:colOff>
      <xdr:row>326</xdr:row>
      <xdr:rowOff>800100</xdr:rowOff>
    </xdr:to>
    <xdr:sp macro="" textlink="">
      <xdr:nvSpPr>
        <xdr:cNvPr id="552" name="Имя " descr="Descr 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327</xdr:row>
      <xdr:rowOff>647700</xdr:rowOff>
    </xdr:from>
    <xdr:to>
      <xdr:col>3</xdr:col>
      <xdr:colOff>180975</xdr:colOff>
      <xdr:row>327</xdr:row>
      <xdr:rowOff>800100</xdr:rowOff>
    </xdr:to>
    <xdr:sp macro="" textlink="">
      <xdr:nvSpPr>
        <xdr:cNvPr id="554" name="Имя " descr="Descr 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328</xdr:row>
      <xdr:rowOff>647700</xdr:rowOff>
    </xdr:from>
    <xdr:to>
      <xdr:col>3</xdr:col>
      <xdr:colOff>180975</xdr:colOff>
      <xdr:row>328</xdr:row>
      <xdr:rowOff>800100</xdr:rowOff>
    </xdr:to>
    <xdr:sp macro="" textlink="">
      <xdr:nvSpPr>
        <xdr:cNvPr id="556" name="Имя " descr="Descr 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329</xdr:row>
      <xdr:rowOff>647700</xdr:rowOff>
    </xdr:from>
    <xdr:to>
      <xdr:col>3</xdr:col>
      <xdr:colOff>180975</xdr:colOff>
      <xdr:row>329</xdr:row>
      <xdr:rowOff>800100</xdr:rowOff>
    </xdr:to>
    <xdr:sp macro="" textlink="">
      <xdr:nvSpPr>
        <xdr:cNvPr id="558" name="Имя " descr="Descr 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330</xdr:row>
      <xdr:rowOff>647700</xdr:rowOff>
    </xdr:from>
    <xdr:to>
      <xdr:col>3</xdr:col>
      <xdr:colOff>180975</xdr:colOff>
      <xdr:row>330</xdr:row>
      <xdr:rowOff>800100</xdr:rowOff>
    </xdr:to>
    <xdr:sp macro="" textlink="">
      <xdr:nvSpPr>
        <xdr:cNvPr id="560" name="Имя " descr="Descr 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331</xdr:row>
      <xdr:rowOff>647700</xdr:rowOff>
    </xdr:from>
    <xdr:to>
      <xdr:col>3</xdr:col>
      <xdr:colOff>180975</xdr:colOff>
      <xdr:row>331</xdr:row>
      <xdr:rowOff>800100</xdr:rowOff>
    </xdr:to>
    <xdr:sp macro="" textlink="">
      <xdr:nvSpPr>
        <xdr:cNvPr id="562" name="Имя " descr="Descr 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332</xdr:row>
      <xdr:rowOff>647700</xdr:rowOff>
    </xdr:from>
    <xdr:to>
      <xdr:col>3</xdr:col>
      <xdr:colOff>180975</xdr:colOff>
      <xdr:row>332</xdr:row>
      <xdr:rowOff>800100</xdr:rowOff>
    </xdr:to>
    <xdr:sp macro="" textlink="">
      <xdr:nvSpPr>
        <xdr:cNvPr id="564" name="Имя " descr="Descr 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333</xdr:row>
      <xdr:rowOff>647700</xdr:rowOff>
    </xdr:from>
    <xdr:to>
      <xdr:col>3</xdr:col>
      <xdr:colOff>180975</xdr:colOff>
      <xdr:row>333</xdr:row>
      <xdr:rowOff>800100</xdr:rowOff>
    </xdr:to>
    <xdr:sp macro="" textlink="">
      <xdr:nvSpPr>
        <xdr:cNvPr id="566" name="Имя " descr="Descr 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334</xdr:row>
      <xdr:rowOff>647700</xdr:rowOff>
    </xdr:from>
    <xdr:to>
      <xdr:col>3</xdr:col>
      <xdr:colOff>180975</xdr:colOff>
      <xdr:row>334</xdr:row>
      <xdr:rowOff>800100</xdr:rowOff>
    </xdr:to>
    <xdr:sp macro="" textlink="">
      <xdr:nvSpPr>
        <xdr:cNvPr id="568" name="Имя " descr="Descr 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335</xdr:row>
      <xdr:rowOff>647700</xdr:rowOff>
    </xdr:from>
    <xdr:to>
      <xdr:col>3</xdr:col>
      <xdr:colOff>180975</xdr:colOff>
      <xdr:row>335</xdr:row>
      <xdr:rowOff>800100</xdr:rowOff>
    </xdr:to>
    <xdr:sp macro="" textlink="">
      <xdr:nvSpPr>
        <xdr:cNvPr id="570" name="Имя " descr="Descr 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336</xdr:row>
      <xdr:rowOff>647700</xdr:rowOff>
    </xdr:from>
    <xdr:to>
      <xdr:col>3</xdr:col>
      <xdr:colOff>180975</xdr:colOff>
      <xdr:row>336</xdr:row>
      <xdr:rowOff>800100</xdr:rowOff>
    </xdr:to>
    <xdr:sp macro="" textlink="">
      <xdr:nvSpPr>
        <xdr:cNvPr id="572" name="Имя " descr="Descr 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337</xdr:row>
      <xdr:rowOff>647700</xdr:rowOff>
    </xdr:from>
    <xdr:to>
      <xdr:col>3</xdr:col>
      <xdr:colOff>180975</xdr:colOff>
      <xdr:row>337</xdr:row>
      <xdr:rowOff>800100</xdr:rowOff>
    </xdr:to>
    <xdr:sp macro="" textlink="">
      <xdr:nvSpPr>
        <xdr:cNvPr id="574" name="Имя " descr="Descr 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338</xdr:row>
      <xdr:rowOff>647700</xdr:rowOff>
    </xdr:from>
    <xdr:to>
      <xdr:col>3</xdr:col>
      <xdr:colOff>180975</xdr:colOff>
      <xdr:row>338</xdr:row>
      <xdr:rowOff>800100</xdr:rowOff>
    </xdr:to>
    <xdr:sp macro="" textlink="">
      <xdr:nvSpPr>
        <xdr:cNvPr id="576" name="Имя " descr="Descr 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339</xdr:row>
      <xdr:rowOff>647700</xdr:rowOff>
    </xdr:from>
    <xdr:to>
      <xdr:col>3</xdr:col>
      <xdr:colOff>180975</xdr:colOff>
      <xdr:row>339</xdr:row>
      <xdr:rowOff>800100</xdr:rowOff>
    </xdr:to>
    <xdr:sp macro="" textlink="">
      <xdr:nvSpPr>
        <xdr:cNvPr id="578" name="Имя " descr="Descr 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340</xdr:row>
      <xdr:rowOff>647700</xdr:rowOff>
    </xdr:from>
    <xdr:to>
      <xdr:col>3</xdr:col>
      <xdr:colOff>180975</xdr:colOff>
      <xdr:row>340</xdr:row>
      <xdr:rowOff>800100</xdr:rowOff>
    </xdr:to>
    <xdr:sp macro="" textlink="">
      <xdr:nvSpPr>
        <xdr:cNvPr id="580" name="Имя " descr="Descr 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341</xdr:row>
      <xdr:rowOff>647700</xdr:rowOff>
    </xdr:from>
    <xdr:to>
      <xdr:col>3</xdr:col>
      <xdr:colOff>180975</xdr:colOff>
      <xdr:row>341</xdr:row>
      <xdr:rowOff>800100</xdr:rowOff>
    </xdr:to>
    <xdr:sp macro="" textlink="">
      <xdr:nvSpPr>
        <xdr:cNvPr id="582" name="Имя " descr="Descr 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342</xdr:row>
      <xdr:rowOff>647700</xdr:rowOff>
    </xdr:from>
    <xdr:to>
      <xdr:col>3</xdr:col>
      <xdr:colOff>180975</xdr:colOff>
      <xdr:row>342</xdr:row>
      <xdr:rowOff>800100</xdr:rowOff>
    </xdr:to>
    <xdr:sp macro="" textlink="">
      <xdr:nvSpPr>
        <xdr:cNvPr id="584" name="Имя " descr="Descr 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343</xdr:row>
      <xdr:rowOff>647700</xdr:rowOff>
    </xdr:from>
    <xdr:to>
      <xdr:col>3</xdr:col>
      <xdr:colOff>180975</xdr:colOff>
      <xdr:row>343</xdr:row>
      <xdr:rowOff>800100</xdr:rowOff>
    </xdr:to>
    <xdr:sp macro="" textlink="">
      <xdr:nvSpPr>
        <xdr:cNvPr id="586" name="Имя " descr="Descr 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344</xdr:row>
      <xdr:rowOff>647700</xdr:rowOff>
    </xdr:from>
    <xdr:to>
      <xdr:col>3</xdr:col>
      <xdr:colOff>180975</xdr:colOff>
      <xdr:row>344</xdr:row>
      <xdr:rowOff>800100</xdr:rowOff>
    </xdr:to>
    <xdr:sp macro="" textlink="">
      <xdr:nvSpPr>
        <xdr:cNvPr id="588" name="Имя " descr="Descr 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345</xdr:row>
      <xdr:rowOff>647700</xdr:rowOff>
    </xdr:from>
    <xdr:to>
      <xdr:col>3</xdr:col>
      <xdr:colOff>180975</xdr:colOff>
      <xdr:row>345</xdr:row>
      <xdr:rowOff>800100</xdr:rowOff>
    </xdr:to>
    <xdr:sp macro="" textlink="">
      <xdr:nvSpPr>
        <xdr:cNvPr id="590" name="Имя " descr="Descr 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346</xdr:row>
      <xdr:rowOff>647700</xdr:rowOff>
    </xdr:from>
    <xdr:to>
      <xdr:col>3</xdr:col>
      <xdr:colOff>180975</xdr:colOff>
      <xdr:row>346</xdr:row>
      <xdr:rowOff>800100</xdr:rowOff>
    </xdr:to>
    <xdr:sp macro="" textlink="">
      <xdr:nvSpPr>
        <xdr:cNvPr id="592" name="Имя " descr="Descr 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347</xdr:row>
      <xdr:rowOff>647700</xdr:rowOff>
    </xdr:from>
    <xdr:to>
      <xdr:col>3</xdr:col>
      <xdr:colOff>180975</xdr:colOff>
      <xdr:row>347</xdr:row>
      <xdr:rowOff>800100</xdr:rowOff>
    </xdr:to>
    <xdr:sp macro="" textlink="">
      <xdr:nvSpPr>
        <xdr:cNvPr id="594" name="Имя " descr="Descr 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348</xdr:row>
      <xdr:rowOff>647700</xdr:rowOff>
    </xdr:from>
    <xdr:to>
      <xdr:col>3</xdr:col>
      <xdr:colOff>180975</xdr:colOff>
      <xdr:row>348</xdr:row>
      <xdr:rowOff>800100</xdr:rowOff>
    </xdr:to>
    <xdr:sp macro="" textlink="">
      <xdr:nvSpPr>
        <xdr:cNvPr id="596" name="Имя " descr="Descr 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349</xdr:row>
      <xdr:rowOff>647700</xdr:rowOff>
    </xdr:from>
    <xdr:to>
      <xdr:col>3</xdr:col>
      <xdr:colOff>180975</xdr:colOff>
      <xdr:row>349</xdr:row>
      <xdr:rowOff>800100</xdr:rowOff>
    </xdr:to>
    <xdr:sp macro="" textlink="">
      <xdr:nvSpPr>
        <xdr:cNvPr id="598" name="Имя " descr="Descr 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350</xdr:row>
      <xdr:rowOff>647700</xdr:rowOff>
    </xdr:from>
    <xdr:to>
      <xdr:col>3</xdr:col>
      <xdr:colOff>180975</xdr:colOff>
      <xdr:row>350</xdr:row>
      <xdr:rowOff>800100</xdr:rowOff>
    </xdr:to>
    <xdr:sp macro="" textlink="">
      <xdr:nvSpPr>
        <xdr:cNvPr id="600" name="Имя " descr="Descr 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351</xdr:row>
      <xdr:rowOff>647700</xdr:rowOff>
    </xdr:from>
    <xdr:to>
      <xdr:col>3</xdr:col>
      <xdr:colOff>180975</xdr:colOff>
      <xdr:row>351</xdr:row>
      <xdr:rowOff>800100</xdr:rowOff>
    </xdr:to>
    <xdr:sp macro="" textlink="">
      <xdr:nvSpPr>
        <xdr:cNvPr id="602" name="Имя " descr="Descr 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352</xdr:row>
      <xdr:rowOff>647700</xdr:rowOff>
    </xdr:from>
    <xdr:to>
      <xdr:col>3</xdr:col>
      <xdr:colOff>180975</xdr:colOff>
      <xdr:row>352</xdr:row>
      <xdr:rowOff>800100</xdr:rowOff>
    </xdr:to>
    <xdr:sp macro="" textlink="">
      <xdr:nvSpPr>
        <xdr:cNvPr id="604" name="Имя " descr="Descr 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353</xdr:row>
      <xdr:rowOff>647700</xdr:rowOff>
    </xdr:from>
    <xdr:to>
      <xdr:col>3</xdr:col>
      <xdr:colOff>180975</xdr:colOff>
      <xdr:row>353</xdr:row>
      <xdr:rowOff>800100</xdr:rowOff>
    </xdr:to>
    <xdr:sp macro="" textlink="">
      <xdr:nvSpPr>
        <xdr:cNvPr id="606" name="Имя " descr="Descr 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354</xdr:row>
      <xdr:rowOff>647700</xdr:rowOff>
    </xdr:from>
    <xdr:to>
      <xdr:col>3</xdr:col>
      <xdr:colOff>180975</xdr:colOff>
      <xdr:row>354</xdr:row>
      <xdr:rowOff>800100</xdr:rowOff>
    </xdr:to>
    <xdr:sp macro="" textlink="">
      <xdr:nvSpPr>
        <xdr:cNvPr id="608" name="Имя " descr="Descr 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355</xdr:row>
      <xdr:rowOff>647700</xdr:rowOff>
    </xdr:from>
    <xdr:to>
      <xdr:col>3</xdr:col>
      <xdr:colOff>180975</xdr:colOff>
      <xdr:row>355</xdr:row>
      <xdr:rowOff>800100</xdr:rowOff>
    </xdr:to>
    <xdr:sp macro="" textlink="">
      <xdr:nvSpPr>
        <xdr:cNvPr id="610" name="Имя " descr="Descr 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356</xdr:row>
      <xdr:rowOff>647700</xdr:rowOff>
    </xdr:from>
    <xdr:to>
      <xdr:col>3</xdr:col>
      <xdr:colOff>180975</xdr:colOff>
      <xdr:row>356</xdr:row>
      <xdr:rowOff>800100</xdr:rowOff>
    </xdr:to>
    <xdr:sp macro="" textlink="">
      <xdr:nvSpPr>
        <xdr:cNvPr id="612" name="Имя " descr="Descr 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357</xdr:row>
      <xdr:rowOff>647700</xdr:rowOff>
    </xdr:from>
    <xdr:to>
      <xdr:col>3</xdr:col>
      <xdr:colOff>180975</xdr:colOff>
      <xdr:row>357</xdr:row>
      <xdr:rowOff>800100</xdr:rowOff>
    </xdr:to>
    <xdr:sp macro="" textlink="">
      <xdr:nvSpPr>
        <xdr:cNvPr id="614" name="Имя " descr="Descr 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358</xdr:row>
      <xdr:rowOff>647700</xdr:rowOff>
    </xdr:from>
    <xdr:to>
      <xdr:col>3</xdr:col>
      <xdr:colOff>180975</xdr:colOff>
      <xdr:row>358</xdr:row>
      <xdr:rowOff>800100</xdr:rowOff>
    </xdr:to>
    <xdr:sp macro="" textlink="">
      <xdr:nvSpPr>
        <xdr:cNvPr id="616" name="Имя " descr="Descr 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359</xdr:row>
      <xdr:rowOff>647700</xdr:rowOff>
    </xdr:from>
    <xdr:to>
      <xdr:col>3</xdr:col>
      <xdr:colOff>180975</xdr:colOff>
      <xdr:row>359</xdr:row>
      <xdr:rowOff>800100</xdr:rowOff>
    </xdr:to>
    <xdr:sp macro="" textlink="">
      <xdr:nvSpPr>
        <xdr:cNvPr id="618" name="Имя " descr="Descr 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360</xdr:row>
      <xdr:rowOff>647700</xdr:rowOff>
    </xdr:from>
    <xdr:to>
      <xdr:col>3</xdr:col>
      <xdr:colOff>180975</xdr:colOff>
      <xdr:row>360</xdr:row>
      <xdr:rowOff>800100</xdr:rowOff>
    </xdr:to>
    <xdr:sp macro="" textlink="">
      <xdr:nvSpPr>
        <xdr:cNvPr id="620" name="Имя " descr="Descr 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361</xdr:row>
      <xdr:rowOff>647700</xdr:rowOff>
    </xdr:from>
    <xdr:to>
      <xdr:col>3</xdr:col>
      <xdr:colOff>180975</xdr:colOff>
      <xdr:row>361</xdr:row>
      <xdr:rowOff>800100</xdr:rowOff>
    </xdr:to>
    <xdr:sp macro="" textlink="">
      <xdr:nvSpPr>
        <xdr:cNvPr id="622" name="Имя " descr="Descr 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362</xdr:row>
      <xdr:rowOff>647700</xdr:rowOff>
    </xdr:from>
    <xdr:to>
      <xdr:col>3</xdr:col>
      <xdr:colOff>180975</xdr:colOff>
      <xdr:row>362</xdr:row>
      <xdr:rowOff>800100</xdr:rowOff>
    </xdr:to>
    <xdr:sp macro="" textlink="">
      <xdr:nvSpPr>
        <xdr:cNvPr id="624" name="Имя " descr="Descr 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363</xdr:row>
      <xdr:rowOff>647700</xdr:rowOff>
    </xdr:from>
    <xdr:to>
      <xdr:col>3</xdr:col>
      <xdr:colOff>180975</xdr:colOff>
      <xdr:row>363</xdr:row>
      <xdr:rowOff>800100</xdr:rowOff>
    </xdr:to>
    <xdr:sp macro="" textlink="">
      <xdr:nvSpPr>
        <xdr:cNvPr id="626" name="Имя " descr="Descr 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364</xdr:row>
      <xdr:rowOff>647700</xdr:rowOff>
    </xdr:from>
    <xdr:to>
      <xdr:col>3</xdr:col>
      <xdr:colOff>180975</xdr:colOff>
      <xdr:row>364</xdr:row>
      <xdr:rowOff>800100</xdr:rowOff>
    </xdr:to>
    <xdr:sp macro="" textlink="">
      <xdr:nvSpPr>
        <xdr:cNvPr id="628" name="Имя " descr="Descr 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365</xdr:row>
      <xdr:rowOff>647700</xdr:rowOff>
    </xdr:from>
    <xdr:to>
      <xdr:col>3</xdr:col>
      <xdr:colOff>180975</xdr:colOff>
      <xdr:row>365</xdr:row>
      <xdr:rowOff>800100</xdr:rowOff>
    </xdr:to>
    <xdr:sp macro="" textlink="">
      <xdr:nvSpPr>
        <xdr:cNvPr id="630" name="Имя " descr="Descr 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366</xdr:row>
      <xdr:rowOff>647700</xdr:rowOff>
    </xdr:from>
    <xdr:to>
      <xdr:col>3</xdr:col>
      <xdr:colOff>180975</xdr:colOff>
      <xdr:row>366</xdr:row>
      <xdr:rowOff>800100</xdr:rowOff>
    </xdr:to>
    <xdr:sp macro="" textlink="">
      <xdr:nvSpPr>
        <xdr:cNvPr id="632" name="Имя " descr="Descr 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367</xdr:row>
      <xdr:rowOff>647700</xdr:rowOff>
    </xdr:from>
    <xdr:to>
      <xdr:col>3</xdr:col>
      <xdr:colOff>180975</xdr:colOff>
      <xdr:row>367</xdr:row>
      <xdr:rowOff>800100</xdr:rowOff>
    </xdr:to>
    <xdr:sp macro="" textlink="">
      <xdr:nvSpPr>
        <xdr:cNvPr id="634" name="Имя " descr="Descr 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368</xdr:row>
      <xdr:rowOff>647700</xdr:rowOff>
    </xdr:from>
    <xdr:to>
      <xdr:col>3</xdr:col>
      <xdr:colOff>180975</xdr:colOff>
      <xdr:row>368</xdr:row>
      <xdr:rowOff>800100</xdr:rowOff>
    </xdr:to>
    <xdr:sp macro="" textlink="">
      <xdr:nvSpPr>
        <xdr:cNvPr id="636" name="Имя " descr="Descr 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369</xdr:row>
      <xdr:rowOff>647700</xdr:rowOff>
    </xdr:from>
    <xdr:to>
      <xdr:col>3</xdr:col>
      <xdr:colOff>180975</xdr:colOff>
      <xdr:row>369</xdr:row>
      <xdr:rowOff>800100</xdr:rowOff>
    </xdr:to>
    <xdr:sp macro="" textlink="">
      <xdr:nvSpPr>
        <xdr:cNvPr id="638" name="Имя " descr="Descr 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370</xdr:row>
      <xdr:rowOff>647700</xdr:rowOff>
    </xdr:from>
    <xdr:to>
      <xdr:col>3</xdr:col>
      <xdr:colOff>180975</xdr:colOff>
      <xdr:row>370</xdr:row>
      <xdr:rowOff>800100</xdr:rowOff>
    </xdr:to>
    <xdr:sp macro="" textlink="">
      <xdr:nvSpPr>
        <xdr:cNvPr id="640" name="Имя " descr="Descr 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372</xdr:row>
      <xdr:rowOff>647700</xdr:rowOff>
    </xdr:from>
    <xdr:to>
      <xdr:col>3</xdr:col>
      <xdr:colOff>180975</xdr:colOff>
      <xdr:row>372</xdr:row>
      <xdr:rowOff>800100</xdr:rowOff>
    </xdr:to>
    <xdr:sp macro="" textlink="">
      <xdr:nvSpPr>
        <xdr:cNvPr id="642" name="Имя " descr="Descr 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373</xdr:row>
      <xdr:rowOff>647700</xdr:rowOff>
    </xdr:from>
    <xdr:to>
      <xdr:col>3</xdr:col>
      <xdr:colOff>180975</xdr:colOff>
      <xdr:row>373</xdr:row>
      <xdr:rowOff>800100</xdr:rowOff>
    </xdr:to>
    <xdr:sp macro="" textlink="">
      <xdr:nvSpPr>
        <xdr:cNvPr id="644" name="Имя " descr="Descr 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374</xdr:row>
      <xdr:rowOff>647700</xdr:rowOff>
    </xdr:from>
    <xdr:to>
      <xdr:col>3</xdr:col>
      <xdr:colOff>180975</xdr:colOff>
      <xdr:row>374</xdr:row>
      <xdr:rowOff>800100</xdr:rowOff>
    </xdr:to>
    <xdr:sp macro="" textlink="">
      <xdr:nvSpPr>
        <xdr:cNvPr id="646" name="Имя " descr="Descr 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375</xdr:row>
      <xdr:rowOff>647700</xdr:rowOff>
    </xdr:from>
    <xdr:to>
      <xdr:col>3</xdr:col>
      <xdr:colOff>180975</xdr:colOff>
      <xdr:row>375</xdr:row>
      <xdr:rowOff>800100</xdr:rowOff>
    </xdr:to>
    <xdr:sp macro="" textlink="">
      <xdr:nvSpPr>
        <xdr:cNvPr id="648" name="Имя " descr="Descr 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376</xdr:row>
      <xdr:rowOff>647700</xdr:rowOff>
    </xdr:from>
    <xdr:to>
      <xdr:col>3</xdr:col>
      <xdr:colOff>180975</xdr:colOff>
      <xdr:row>376</xdr:row>
      <xdr:rowOff>800100</xdr:rowOff>
    </xdr:to>
    <xdr:sp macro="" textlink="">
      <xdr:nvSpPr>
        <xdr:cNvPr id="650" name="Имя " descr="Descr 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377</xdr:row>
      <xdr:rowOff>647700</xdr:rowOff>
    </xdr:from>
    <xdr:to>
      <xdr:col>3</xdr:col>
      <xdr:colOff>180975</xdr:colOff>
      <xdr:row>377</xdr:row>
      <xdr:rowOff>800100</xdr:rowOff>
    </xdr:to>
    <xdr:sp macro="" textlink="">
      <xdr:nvSpPr>
        <xdr:cNvPr id="652" name="Имя " descr="Descr 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378</xdr:row>
      <xdr:rowOff>647700</xdr:rowOff>
    </xdr:from>
    <xdr:to>
      <xdr:col>3</xdr:col>
      <xdr:colOff>180975</xdr:colOff>
      <xdr:row>378</xdr:row>
      <xdr:rowOff>800100</xdr:rowOff>
    </xdr:to>
    <xdr:sp macro="" textlink="">
      <xdr:nvSpPr>
        <xdr:cNvPr id="654" name="Имя " descr="Descr 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379</xdr:row>
      <xdr:rowOff>647700</xdr:rowOff>
    </xdr:from>
    <xdr:to>
      <xdr:col>3</xdr:col>
      <xdr:colOff>180975</xdr:colOff>
      <xdr:row>379</xdr:row>
      <xdr:rowOff>800100</xdr:rowOff>
    </xdr:to>
    <xdr:sp macro="" textlink="">
      <xdr:nvSpPr>
        <xdr:cNvPr id="656" name="Имя " descr="Descr 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380</xdr:row>
      <xdr:rowOff>647700</xdr:rowOff>
    </xdr:from>
    <xdr:to>
      <xdr:col>3</xdr:col>
      <xdr:colOff>180975</xdr:colOff>
      <xdr:row>380</xdr:row>
      <xdr:rowOff>800100</xdr:rowOff>
    </xdr:to>
    <xdr:sp macro="" textlink="">
      <xdr:nvSpPr>
        <xdr:cNvPr id="658" name="Имя " descr="Descr 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382</xdr:row>
      <xdr:rowOff>647700</xdr:rowOff>
    </xdr:from>
    <xdr:to>
      <xdr:col>3</xdr:col>
      <xdr:colOff>180975</xdr:colOff>
      <xdr:row>382</xdr:row>
      <xdr:rowOff>800100</xdr:rowOff>
    </xdr:to>
    <xdr:sp macro="" textlink="">
      <xdr:nvSpPr>
        <xdr:cNvPr id="660" name="Имя " descr="Descr 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384</xdr:row>
      <xdr:rowOff>647700</xdr:rowOff>
    </xdr:from>
    <xdr:to>
      <xdr:col>3</xdr:col>
      <xdr:colOff>180975</xdr:colOff>
      <xdr:row>384</xdr:row>
      <xdr:rowOff>800100</xdr:rowOff>
    </xdr:to>
    <xdr:sp macro="" textlink="">
      <xdr:nvSpPr>
        <xdr:cNvPr id="662" name="Имя " descr="Descr 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385</xdr:row>
      <xdr:rowOff>647700</xdr:rowOff>
    </xdr:from>
    <xdr:to>
      <xdr:col>3</xdr:col>
      <xdr:colOff>180975</xdr:colOff>
      <xdr:row>385</xdr:row>
      <xdr:rowOff>800100</xdr:rowOff>
    </xdr:to>
    <xdr:sp macro="" textlink="">
      <xdr:nvSpPr>
        <xdr:cNvPr id="664" name="Имя " descr="Descr 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386</xdr:row>
      <xdr:rowOff>647700</xdr:rowOff>
    </xdr:from>
    <xdr:to>
      <xdr:col>3</xdr:col>
      <xdr:colOff>180975</xdr:colOff>
      <xdr:row>386</xdr:row>
      <xdr:rowOff>800100</xdr:rowOff>
    </xdr:to>
    <xdr:sp macro="" textlink="">
      <xdr:nvSpPr>
        <xdr:cNvPr id="666" name="Имя " descr="Descr 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387</xdr:row>
      <xdr:rowOff>647700</xdr:rowOff>
    </xdr:from>
    <xdr:to>
      <xdr:col>3</xdr:col>
      <xdr:colOff>180975</xdr:colOff>
      <xdr:row>387</xdr:row>
      <xdr:rowOff>800100</xdr:rowOff>
    </xdr:to>
    <xdr:sp macro="" textlink="">
      <xdr:nvSpPr>
        <xdr:cNvPr id="668" name="Имя " descr="Descr 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388</xdr:row>
      <xdr:rowOff>647700</xdr:rowOff>
    </xdr:from>
    <xdr:to>
      <xdr:col>3</xdr:col>
      <xdr:colOff>180975</xdr:colOff>
      <xdr:row>388</xdr:row>
      <xdr:rowOff>800100</xdr:rowOff>
    </xdr:to>
    <xdr:sp macro="" textlink="">
      <xdr:nvSpPr>
        <xdr:cNvPr id="670" name="Имя " descr="Descr 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389</xdr:row>
      <xdr:rowOff>647700</xdr:rowOff>
    </xdr:from>
    <xdr:to>
      <xdr:col>3</xdr:col>
      <xdr:colOff>180975</xdr:colOff>
      <xdr:row>389</xdr:row>
      <xdr:rowOff>800100</xdr:rowOff>
    </xdr:to>
    <xdr:sp macro="" textlink="">
      <xdr:nvSpPr>
        <xdr:cNvPr id="672" name="Имя " descr="Descr 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390</xdr:row>
      <xdr:rowOff>647700</xdr:rowOff>
    </xdr:from>
    <xdr:to>
      <xdr:col>3</xdr:col>
      <xdr:colOff>180975</xdr:colOff>
      <xdr:row>390</xdr:row>
      <xdr:rowOff>800100</xdr:rowOff>
    </xdr:to>
    <xdr:sp macro="" textlink="">
      <xdr:nvSpPr>
        <xdr:cNvPr id="674" name="Имя " descr="Descr 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391</xdr:row>
      <xdr:rowOff>647700</xdr:rowOff>
    </xdr:from>
    <xdr:to>
      <xdr:col>3</xdr:col>
      <xdr:colOff>180975</xdr:colOff>
      <xdr:row>391</xdr:row>
      <xdr:rowOff>800100</xdr:rowOff>
    </xdr:to>
    <xdr:sp macro="" textlink="">
      <xdr:nvSpPr>
        <xdr:cNvPr id="676" name="Имя " descr="Descr 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393</xdr:row>
      <xdr:rowOff>647700</xdr:rowOff>
    </xdr:from>
    <xdr:to>
      <xdr:col>3</xdr:col>
      <xdr:colOff>180975</xdr:colOff>
      <xdr:row>393</xdr:row>
      <xdr:rowOff>800100</xdr:rowOff>
    </xdr:to>
    <xdr:sp macro="" textlink="">
      <xdr:nvSpPr>
        <xdr:cNvPr id="678" name="Имя " descr="Descr 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394</xdr:row>
      <xdr:rowOff>647700</xdr:rowOff>
    </xdr:from>
    <xdr:to>
      <xdr:col>3</xdr:col>
      <xdr:colOff>180975</xdr:colOff>
      <xdr:row>394</xdr:row>
      <xdr:rowOff>800100</xdr:rowOff>
    </xdr:to>
    <xdr:sp macro="" textlink="">
      <xdr:nvSpPr>
        <xdr:cNvPr id="680" name="Имя " descr="Descr 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395</xdr:row>
      <xdr:rowOff>647700</xdr:rowOff>
    </xdr:from>
    <xdr:to>
      <xdr:col>3</xdr:col>
      <xdr:colOff>180975</xdr:colOff>
      <xdr:row>395</xdr:row>
      <xdr:rowOff>800100</xdr:rowOff>
    </xdr:to>
    <xdr:sp macro="" textlink="">
      <xdr:nvSpPr>
        <xdr:cNvPr id="682" name="Имя " descr="Descr 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396</xdr:row>
      <xdr:rowOff>647700</xdr:rowOff>
    </xdr:from>
    <xdr:to>
      <xdr:col>3</xdr:col>
      <xdr:colOff>180975</xdr:colOff>
      <xdr:row>396</xdr:row>
      <xdr:rowOff>800100</xdr:rowOff>
    </xdr:to>
    <xdr:sp macro="" textlink="">
      <xdr:nvSpPr>
        <xdr:cNvPr id="684" name="Имя " descr="Descr 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397</xdr:row>
      <xdr:rowOff>647700</xdr:rowOff>
    </xdr:from>
    <xdr:to>
      <xdr:col>3</xdr:col>
      <xdr:colOff>180975</xdr:colOff>
      <xdr:row>397</xdr:row>
      <xdr:rowOff>800100</xdr:rowOff>
    </xdr:to>
    <xdr:sp macro="" textlink="">
      <xdr:nvSpPr>
        <xdr:cNvPr id="686" name="Имя " descr="Descr 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398</xdr:row>
      <xdr:rowOff>647700</xdr:rowOff>
    </xdr:from>
    <xdr:to>
      <xdr:col>3</xdr:col>
      <xdr:colOff>180975</xdr:colOff>
      <xdr:row>398</xdr:row>
      <xdr:rowOff>800100</xdr:rowOff>
    </xdr:to>
    <xdr:sp macro="" textlink="">
      <xdr:nvSpPr>
        <xdr:cNvPr id="688" name="Имя " descr="Descr 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399</xdr:row>
      <xdr:rowOff>647700</xdr:rowOff>
    </xdr:from>
    <xdr:to>
      <xdr:col>3</xdr:col>
      <xdr:colOff>180975</xdr:colOff>
      <xdr:row>399</xdr:row>
      <xdr:rowOff>800100</xdr:rowOff>
    </xdr:to>
    <xdr:sp macro="" textlink="">
      <xdr:nvSpPr>
        <xdr:cNvPr id="690" name="Имя " descr="Descr 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400</xdr:row>
      <xdr:rowOff>647700</xdr:rowOff>
    </xdr:from>
    <xdr:to>
      <xdr:col>3</xdr:col>
      <xdr:colOff>180975</xdr:colOff>
      <xdr:row>400</xdr:row>
      <xdr:rowOff>800100</xdr:rowOff>
    </xdr:to>
    <xdr:sp macro="" textlink="">
      <xdr:nvSpPr>
        <xdr:cNvPr id="692" name="Имя " descr="Descr 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401</xdr:row>
      <xdr:rowOff>647700</xdr:rowOff>
    </xdr:from>
    <xdr:to>
      <xdr:col>3</xdr:col>
      <xdr:colOff>180975</xdr:colOff>
      <xdr:row>401</xdr:row>
      <xdr:rowOff>800100</xdr:rowOff>
    </xdr:to>
    <xdr:sp macro="" textlink="">
      <xdr:nvSpPr>
        <xdr:cNvPr id="694" name="Имя " descr="Descr 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402</xdr:row>
      <xdr:rowOff>647700</xdr:rowOff>
    </xdr:from>
    <xdr:to>
      <xdr:col>3</xdr:col>
      <xdr:colOff>180975</xdr:colOff>
      <xdr:row>402</xdr:row>
      <xdr:rowOff>800100</xdr:rowOff>
    </xdr:to>
    <xdr:sp macro="" textlink="">
      <xdr:nvSpPr>
        <xdr:cNvPr id="696" name="Имя " descr="Descr 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403</xdr:row>
      <xdr:rowOff>647700</xdr:rowOff>
    </xdr:from>
    <xdr:to>
      <xdr:col>3</xdr:col>
      <xdr:colOff>180975</xdr:colOff>
      <xdr:row>403</xdr:row>
      <xdr:rowOff>800100</xdr:rowOff>
    </xdr:to>
    <xdr:sp macro="" textlink="">
      <xdr:nvSpPr>
        <xdr:cNvPr id="698" name="Имя " descr="Descr 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404</xdr:row>
      <xdr:rowOff>647700</xdr:rowOff>
    </xdr:from>
    <xdr:to>
      <xdr:col>3</xdr:col>
      <xdr:colOff>180975</xdr:colOff>
      <xdr:row>404</xdr:row>
      <xdr:rowOff>800100</xdr:rowOff>
    </xdr:to>
    <xdr:sp macro="" textlink="">
      <xdr:nvSpPr>
        <xdr:cNvPr id="700" name="Имя " descr="Descr 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405</xdr:row>
      <xdr:rowOff>647700</xdr:rowOff>
    </xdr:from>
    <xdr:to>
      <xdr:col>3</xdr:col>
      <xdr:colOff>180975</xdr:colOff>
      <xdr:row>405</xdr:row>
      <xdr:rowOff>800100</xdr:rowOff>
    </xdr:to>
    <xdr:sp macro="" textlink="">
      <xdr:nvSpPr>
        <xdr:cNvPr id="702" name="Имя " descr="Descr 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406</xdr:row>
      <xdr:rowOff>647700</xdr:rowOff>
    </xdr:from>
    <xdr:to>
      <xdr:col>3</xdr:col>
      <xdr:colOff>180975</xdr:colOff>
      <xdr:row>406</xdr:row>
      <xdr:rowOff>800100</xdr:rowOff>
    </xdr:to>
    <xdr:sp macro="" textlink="">
      <xdr:nvSpPr>
        <xdr:cNvPr id="704" name="Имя " descr="Descr 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407</xdr:row>
      <xdr:rowOff>647700</xdr:rowOff>
    </xdr:from>
    <xdr:to>
      <xdr:col>3</xdr:col>
      <xdr:colOff>180975</xdr:colOff>
      <xdr:row>407</xdr:row>
      <xdr:rowOff>800100</xdr:rowOff>
    </xdr:to>
    <xdr:sp macro="" textlink="">
      <xdr:nvSpPr>
        <xdr:cNvPr id="706" name="Имя " descr="Descr 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408</xdr:row>
      <xdr:rowOff>647700</xdr:rowOff>
    </xdr:from>
    <xdr:to>
      <xdr:col>3</xdr:col>
      <xdr:colOff>180975</xdr:colOff>
      <xdr:row>408</xdr:row>
      <xdr:rowOff>800100</xdr:rowOff>
    </xdr:to>
    <xdr:sp macro="" textlink="">
      <xdr:nvSpPr>
        <xdr:cNvPr id="708" name="Имя " descr="Descr 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409</xdr:row>
      <xdr:rowOff>647700</xdr:rowOff>
    </xdr:from>
    <xdr:to>
      <xdr:col>3</xdr:col>
      <xdr:colOff>180975</xdr:colOff>
      <xdr:row>409</xdr:row>
      <xdr:rowOff>800100</xdr:rowOff>
    </xdr:to>
    <xdr:sp macro="" textlink="">
      <xdr:nvSpPr>
        <xdr:cNvPr id="710" name="Имя " descr="Descr 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410</xdr:row>
      <xdr:rowOff>647700</xdr:rowOff>
    </xdr:from>
    <xdr:to>
      <xdr:col>3</xdr:col>
      <xdr:colOff>180975</xdr:colOff>
      <xdr:row>410</xdr:row>
      <xdr:rowOff>800100</xdr:rowOff>
    </xdr:to>
    <xdr:sp macro="" textlink="">
      <xdr:nvSpPr>
        <xdr:cNvPr id="712" name="Имя " descr="Descr 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411</xdr:row>
      <xdr:rowOff>647700</xdr:rowOff>
    </xdr:from>
    <xdr:to>
      <xdr:col>3</xdr:col>
      <xdr:colOff>180975</xdr:colOff>
      <xdr:row>411</xdr:row>
      <xdr:rowOff>800100</xdr:rowOff>
    </xdr:to>
    <xdr:sp macro="" textlink="">
      <xdr:nvSpPr>
        <xdr:cNvPr id="714" name="Имя " descr="Descr 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412</xdr:row>
      <xdr:rowOff>647700</xdr:rowOff>
    </xdr:from>
    <xdr:to>
      <xdr:col>3</xdr:col>
      <xdr:colOff>180975</xdr:colOff>
      <xdr:row>412</xdr:row>
      <xdr:rowOff>800100</xdr:rowOff>
    </xdr:to>
    <xdr:sp macro="" textlink="">
      <xdr:nvSpPr>
        <xdr:cNvPr id="716" name="Имя " descr="Descr 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413</xdr:row>
      <xdr:rowOff>647700</xdr:rowOff>
    </xdr:from>
    <xdr:to>
      <xdr:col>3</xdr:col>
      <xdr:colOff>180975</xdr:colOff>
      <xdr:row>413</xdr:row>
      <xdr:rowOff>800100</xdr:rowOff>
    </xdr:to>
    <xdr:sp macro="" textlink="">
      <xdr:nvSpPr>
        <xdr:cNvPr id="718" name="Имя " descr="Descr 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414</xdr:row>
      <xdr:rowOff>647700</xdr:rowOff>
    </xdr:from>
    <xdr:to>
      <xdr:col>3</xdr:col>
      <xdr:colOff>180975</xdr:colOff>
      <xdr:row>414</xdr:row>
      <xdr:rowOff>800100</xdr:rowOff>
    </xdr:to>
    <xdr:sp macro="" textlink="">
      <xdr:nvSpPr>
        <xdr:cNvPr id="720" name="Имя " descr="Descr 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415</xdr:row>
      <xdr:rowOff>647700</xdr:rowOff>
    </xdr:from>
    <xdr:to>
      <xdr:col>3</xdr:col>
      <xdr:colOff>180975</xdr:colOff>
      <xdr:row>415</xdr:row>
      <xdr:rowOff>800100</xdr:rowOff>
    </xdr:to>
    <xdr:sp macro="" textlink="">
      <xdr:nvSpPr>
        <xdr:cNvPr id="722" name="Имя " descr="Descr 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416</xdr:row>
      <xdr:rowOff>647700</xdr:rowOff>
    </xdr:from>
    <xdr:to>
      <xdr:col>3</xdr:col>
      <xdr:colOff>180975</xdr:colOff>
      <xdr:row>416</xdr:row>
      <xdr:rowOff>800100</xdr:rowOff>
    </xdr:to>
    <xdr:sp macro="" textlink="">
      <xdr:nvSpPr>
        <xdr:cNvPr id="724" name="Имя " descr="Descr 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417</xdr:row>
      <xdr:rowOff>647700</xdr:rowOff>
    </xdr:from>
    <xdr:to>
      <xdr:col>3</xdr:col>
      <xdr:colOff>180975</xdr:colOff>
      <xdr:row>417</xdr:row>
      <xdr:rowOff>800100</xdr:rowOff>
    </xdr:to>
    <xdr:sp macro="" textlink="">
      <xdr:nvSpPr>
        <xdr:cNvPr id="726" name="Имя " descr="Descr 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418</xdr:row>
      <xdr:rowOff>647700</xdr:rowOff>
    </xdr:from>
    <xdr:to>
      <xdr:col>3</xdr:col>
      <xdr:colOff>180975</xdr:colOff>
      <xdr:row>418</xdr:row>
      <xdr:rowOff>800100</xdr:rowOff>
    </xdr:to>
    <xdr:sp macro="" textlink="">
      <xdr:nvSpPr>
        <xdr:cNvPr id="728" name="Имя " descr="Descr 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419</xdr:row>
      <xdr:rowOff>647700</xdr:rowOff>
    </xdr:from>
    <xdr:to>
      <xdr:col>3</xdr:col>
      <xdr:colOff>180975</xdr:colOff>
      <xdr:row>419</xdr:row>
      <xdr:rowOff>800100</xdr:rowOff>
    </xdr:to>
    <xdr:sp macro="" textlink="">
      <xdr:nvSpPr>
        <xdr:cNvPr id="730" name="Имя " descr="Descr 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420</xdr:row>
      <xdr:rowOff>647700</xdr:rowOff>
    </xdr:from>
    <xdr:to>
      <xdr:col>3</xdr:col>
      <xdr:colOff>180975</xdr:colOff>
      <xdr:row>420</xdr:row>
      <xdr:rowOff>800100</xdr:rowOff>
    </xdr:to>
    <xdr:sp macro="" textlink="">
      <xdr:nvSpPr>
        <xdr:cNvPr id="732" name="Имя " descr="Descr 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421</xdr:row>
      <xdr:rowOff>647700</xdr:rowOff>
    </xdr:from>
    <xdr:to>
      <xdr:col>3</xdr:col>
      <xdr:colOff>180975</xdr:colOff>
      <xdr:row>421</xdr:row>
      <xdr:rowOff>800100</xdr:rowOff>
    </xdr:to>
    <xdr:sp macro="" textlink="">
      <xdr:nvSpPr>
        <xdr:cNvPr id="734" name="Имя " descr="Descr 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422</xdr:row>
      <xdr:rowOff>647700</xdr:rowOff>
    </xdr:from>
    <xdr:to>
      <xdr:col>3</xdr:col>
      <xdr:colOff>180975</xdr:colOff>
      <xdr:row>422</xdr:row>
      <xdr:rowOff>800100</xdr:rowOff>
    </xdr:to>
    <xdr:sp macro="" textlink="">
      <xdr:nvSpPr>
        <xdr:cNvPr id="736" name="Имя " descr="Descr 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423</xdr:row>
      <xdr:rowOff>647700</xdr:rowOff>
    </xdr:from>
    <xdr:to>
      <xdr:col>3</xdr:col>
      <xdr:colOff>180975</xdr:colOff>
      <xdr:row>423</xdr:row>
      <xdr:rowOff>800100</xdr:rowOff>
    </xdr:to>
    <xdr:sp macro="" textlink="">
      <xdr:nvSpPr>
        <xdr:cNvPr id="738" name="Имя " descr="Descr 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424</xdr:row>
      <xdr:rowOff>647700</xdr:rowOff>
    </xdr:from>
    <xdr:to>
      <xdr:col>3</xdr:col>
      <xdr:colOff>180975</xdr:colOff>
      <xdr:row>424</xdr:row>
      <xdr:rowOff>800100</xdr:rowOff>
    </xdr:to>
    <xdr:sp macro="" textlink="">
      <xdr:nvSpPr>
        <xdr:cNvPr id="740" name="Имя " descr="Descr 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425</xdr:row>
      <xdr:rowOff>647700</xdr:rowOff>
    </xdr:from>
    <xdr:to>
      <xdr:col>3</xdr:col>
      <xdr:colOff>180975</xdr:colOff>
      <xdr:row>425</xdr:row>
      <xdr:rowOff>800100</xdr:rowOff>
    </xdr:to>
    <xdr:sp macro="" textlink="">
      <xdr:nvSpPr>
        <xdr:cNvPr id="742" name="Имя " descr="Descr 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426</xdr:row>
      <xdr:rowOff>647700</xdr:rowOff>
    </xdr:from>
    <xdr:to>
      <xdr:col>3</xdr:col>
      <xdr:colOff>180975</xdr:colOff>
      <xdr:row>426</xdr:row>
      <xdr:rowOff>800100</xdr:rowOff>
    </xdr:to>
    <xdr:sp macro="" textlink="">
      <xdr:nvSpPr>
        <xdr:cNvPr id="744" name="Имя " descr="Descr 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427</xdr:row>
      <xdr:rowOff>647700</xdr:rowOff>
    </xdr:from>
    <xdr:to>
      <xdr:col>3</xdr:col>
      <xdr:colOff>180975</xdr:colOff>
      <xdr:row>427</xdr:row>
      <xdr:rowOff>800100</xdr:rowOff>
    </xdr:to>
    <xdr:sp macro="" textlink="">
      <xdr:nvSpPr>
        <xdr:cNvPr id="746" name="Имя " descr="Descr 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428</xdr:row>
      <xdr:rowOff>647700</xdr:rowOff>
    </xdr:from>
    <xdr:to>
      <xdr:col>3</xdr:col>
      <xdr:colOff>180975</xdr:colOff>
      <xdr:row>428</xdr:row>
      <xdr:rowOff>800100</xdr:rowOff>
    </xdr:to>
    <xdr:sp macro="" textlink="">
      <xdr:nvSpPr>
        <xdr:cNvPr id="748" name="Имя " descr="Descr 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429</xdr:row>
      <xdr:rowOff>647700</xdr:rowOff>
    </xdr:from>
    <xdr:to>
      <xdr:col>3</xdr:col>
      <xdr:colOff>180975</xdr:colOff>
      <xdr:row>429</xdr:row>
      <xdr:rowOff>800100</xdr:rowOff>
    </xdr:to>
    <xdr:sp macro="" textlink="">
      <xdr:nvSpPr>
        <xdr:cNvPr id="750" name="Имя " descr="Descr 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430</xdr:row>
      <xdr:rowOff>647700</xdr:rowOff>
    </xdr:from>
    <xdr:to>
      <xdr:col>3</xdr:col>
      <xdr:colOff>180975</xdr:colOff>
      <xdr:row>430</xdr:row>
      <xdr:rowOff>800100</xdr:rowOff>
    </xdr:to>
    <xdr:sp macro="" textlink="">
      <xdr:nvSpPr>
        <xdr:cNvPr id="752" name="Имя " descr="Descr 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431</xdr:row>
      <xdr:rowOff>647700</xdr:rowOff>
    </xdr:from>
    <xdr:to>
      <xdr:col>3</xdr:col>
      <xdr:colOff>180975</xdr:colOff>
      <xdr:row>431</xdr:row>
      <xdr:rowOff>800100</xdr:rowOff>
    </xdr:to>
    <xdr:sp macro="" textlink="">
      <xdr:nvSpPr>
        <xdr:cNvPr id="754" name="Имя " descr="Descr 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432</xdr:row>
      <xdr:rowOff>647700</xdr:rowOff>
    </xdr:from>
    <xdr:to>
      <xdr:col>3</xdr:col>
      <xdr:colOff>180975</xdr:colOff>
      <xdr:row>432</xdr:row>
      <xdr:rowOff>800100</xdr:rowOff>
    </xdr:to>
    <xdr:sp macro="" textlink="">
      <xdr:nvSpPr>
        <xdr:cNvPr id="756" name="Имя " descr="Descr 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433</xdr:row>
      <xdr:rowOff>647700</xdr:rowOff>
    </xdr:from>
    <xdr:to>
      <xdr:col>3</xdr:col>
      <xdr:colOff>180975</xdr:colOff>
      <xdr:row>433</xdr:row>
      <xdr:rowOff>800100</xdr:rowOff>
    </xdr:to>
    <xdr:sp macro="" textlink="">
      <xdr:nvSpPr>
        <xdr:cNvPr id="758" name="Имя " descr="Descr 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434</xdr:row>
      <xdr:rowOff>647700</xdr:rowOff>
    </xdr:from>
    <xdr:to>
      <xdr:col>3</xdr:col>
      <xdr:colOff>180975</xdr:colOff>
      <xdr:row>434</xdr:row>
      <xdr:rowOff>800100</xdr:rowOff>
    </xdr:to>
    <xdr:sp macro="" textlink="">
      <xdr:nvSpPr>
        <xdr:cNvPr id="760" name="Имя " descr="Descr 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435</xdr:row>
      <xdr:rowOff>647700</xdr:rowOff>
    </xdr:from>
    <xdr:to>
      <xdr:col>3</xdr:col>
      <xdr:colOff>180975</xdr:colOff>
      <xdr:row>435</xdr:row>
      <xdr:rowOff>800100</xdr:rowOff>
    </xdr:to>
    <xdr:sp macro="" textlink="">
      <xdr:nvSpPr>
        <xdr:cNvPr id="762" name="Имя " descr="Descr 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436</xdr:row>
      <xdr:rowOff>647700</xdr:rowOff>
    </xdr:from>
    <xdr:to>
      <xdr:col>3</xdr:col>
      <xdr:colOff>180975</xdr:colOff>
      <xdr:row>436</xdr:row>
      <xdr:rowOff>800100</xdr:rowOff>
    </xdr:to>
    <xdr:sp macro="" textlink="">
      <xdr:nvSpPr>
        <xdr:cNvPr id="764" name="Имя " descr="Descr 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437</xdr:row>
      <xdr:rowOff>647700</xdr:rowOff>
    </xdr:from>
    <xdr:to>
      <xdr:col>3</xdr:col>
      <xdr:colOff>180975</xdr:colOff>
      <xdr:row>437</xdr:row>
      <xdr:rowOff>800100</xdr:rowOff>
    </xdr:to>
    <xdr:sp macro="" textlink="">
      <xdr:nvSpPr>
        <xdr:cNvPr id="766" name="Имя " descr="Descr 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438</xdr:row>
      <xdr:rowOff>647700</xdr:rowOff>
    </xdr:from>
    <xdr:to>
      <xdr:col>3</xdr:col>
      <xdr:colOff>180975</xdr:colOff>
      <xdr:row>438</xdr:row>
      <xdr:rowOff>800100</xdr:rowOff>
    </xdr:to>
    <xdr:sp macro="" textlink="">
      <xdr:nvSpPr>
        <xdr:cNvPr id="768" name="Имя " descr="Descr 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439</xdr:row>
      <xdr:rowOff>647700</xdr:rowOff>
    </xdr:from>
    <xdr:to>
      <xdr:col>3</xdr:col>
      <xdr:colOff>180975</xdr:colOff>
      <xdr:row>439</xdr:row>
      <xdr:rowOff>800100</xdr:rowOff>
    </xdr:to>
    <xdr:sp macro="" textlink="">
      <xdr:nvSpPr>
        <xdr:cNvPr id="770" name="Имя " descr="Descr 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440</xdr:row>
      <xdr:rowOff>647700</xdr:rowOff>
    </xdr:from>
    <xdr:to>
      <xdr:col>3</xdr:col>
      <xdr:colOff>180975</xdr:colOff>
      <xdr:row>440</xdr:row>
      <xdr:rowOff>800100</xdr:rowOff>
    </xdr:to>
    <xdr:sp macro="" textlink="">
      <xdr:nvSpPr>
        <xdr:cNvPr id="772" name="Имя " descr="Descr 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441</xdr:row>
      <xdr:rowOff>647700</xdr:rowOff>
    </xdr:from>
    <xdr:to>
      <xdr:col>3</xdr:col>
      <xdr:colOff>180975</xdr:colOff>
      <xdr:row>441</xdr:row>
      <xdr:rowOff>800100</xdr:rowOff>
    </xdr:to>
    <xdr:sp macro="" textlink="">
      <xdr:nvSpPr>
        <xdr:cNvPr id="774" name="Имя " descr="Descr 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442</xdr:row>
      <xdr:rowOff>647700</xdr:rowOff>
    </xdr:from>
    <xdr:to>
      <xdr:col>3</xdr:col>
      <xdr:colOff>180975</xdr:colOff>
      <xdr:row>442</xdr:row>
      <xdr:rowOff>800100</xdr:rowOff>
    </xdr:to>
    <xdr:sp macro="" textlink="">
      <xdr:nvSpPr>
        <xdr:cNvPr id="776" name="Имя " descr="Descr 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443</xdr:row>
      <xdr:rowOff>647700</xdr:rowOff>
    </xdr:from>
    <xdr:to>
      <xdr:col>3</xdr:col>
      <xdr:colOff>180975</xdr:colOff>
      <xdr:row>443</xdr:row>
      <xdr:rowOff>800100</xdr:rowOff>
    </xdr:to>
    <xdr:sp macro="" textlink="">
      <xdr:nvSpPr>
        <xdr:cNvPr id="778" name="Имя " descr="Descr 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444</xdr:row>
      <xdr:rowOff>647700</xdr:rowOff>
    </xdr:from>
    <xdr:to>
      <xdr:col>3</xdr:col>
      <xdr:colOff>180975</xdr:colOff>
      <xdr:row>444</xdr:row>
      <xdr:rowOff>800100</xdr:rowOff>
    </xdr:to>
    <xdr:sp macro="" textlink="">
      <xdr:nvSpPr>
        <xdr:cNvPr id="780" name="Имя " descr="Descr 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445</xdr:row>
      <xdr:rowOff>647700</xdr:rowOff>
    </xdr:from>
    <xdr:to>
      <xdr:col>3</xdr:col>
      <xdr:colOff>180975</xdr:colOff>
      <xdr:row>445</xdr:row>
      <xdr:rowOff>800100</xdr:rowOff>
    </xdr:to>
    <xdr:sp macro="" textlink="">
      <xdr:nvSpPr>
        <xdr:cNvPr id="782" name="Имя " descr="Descr 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446</xdr:row>
      <xdr:rowOff>647700</xdr:rowOff>
    </xdr:from>
    <xdr:to>
      <xdr:col>3</xdr:col>
      <xdr:colOff>180975</xdr:colOff>
      <xdr:row>446</xdr:row>
      <xdr:rowOff>800100</xdr:rowOff>
    </xdr:to>
    <xdr:sp macro="" textlink="">
      <xdr:nvSpPr>
        <xdr:cNvPr id="784" name="Имя " descr="Descr 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447</xdr:row>
      <xdr:rowOff>647700</xdr:rowOff>
    </xdr:from>
    <xdr:to>
      <xdr:col>3</xdr:col>
      <xdr:colOff>180975</xdr:colOff>
      <xdr:row>447</xdr:row>
      <xdr:rowOff>800100</xdr:rowOff>
    </xdr:to>
    <xdr:sp macro="" textlink="">
      <xdr:nvSpPr>
        <xdr:cNvPr id="786" name="Имя " descr="Descr 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448</xdr:row>
      <xdr:rowOff>647700</xdr:rowOff>
    </xdr:from>
    <xdr:to>
      <xdr:col>3</xdr:col>
      <xdr:colOff>180975</xdr:colOff>
      <xdr:row>448</xdr:row>
      <xdr:rowOff>800100</xdr:rowOff>
    </xdr:to>
    <xdr:sp macro="" textlink="">
      <xdr:nvSpPr>
        <xdr:cNvPr id="788" name="Имя " descr="Descr 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449</xdr:row>
      <xdr:rowOff>647700</xdr:rowOff>
    </xdr:from>
    <xdr:to>
      <xdr:col>3</xdr:col>
      <xdr:colOff>180975</xdr:colOff>
      <xdr:row>449</xdr:row>
      <xdr:rowOff>800100</xdr:rowOff>
    </xdr:to>
    <xdr:sp macro="" textlink="">
      <xdr:nvSpPr>
        <xdr:cNvPr id="790" name="Имя " descr="Descr 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450</xdr:row>
      <xdr:rowOff>647700</xdr:rowOff>
    </xdr:from>
    <xdr:to>
      <xdr:col>3</xdr:col>
      <xdr:colOff>180975</xdr:colOff>
      <xdr:row>450</xdr:row>
      <xdr:rowOff>800100</xdr:rowOff>
    </xdr:to>
    <xdr:sp macro="" textlink="">
      <xdr:nvSpPr>
        <xdr:cNvPr id="792" name="Имя " descr="Descr 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452</xdr:row>
      <xdr:rowOff>647700</xdr:rowOff>
    </xdr:from>
    <xdr:to>
      <xdr:col>3</xdr:col>
      <xdr:colOff>180975</xdr:colOff>
      <xdr:row>452</xdr:row>
      <xdr:rowOff>800100</xdr:rowOff>
    </xdr:to>
    <xdr:sp macro="" textlink="">
      <xdr:nvSpPr>
        <xdr:cNvPr id="794" name="Имя " descr="Descr 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453</xdr:row>
      <xdr:rowOff>647700</xdr:rowOff>
    </xdr:from>
    <xdr:to>
      <xdr:col>3</xdr:col>
      <xdr:colOff>180975</xdr:colOff>
      <xdr:row>453</xdr:row>
      <xdr:rowOff>800100</xdr:rowOff>
    </xdr:to>
    <xdr:sp macro="" textlink="">
      <xdr:nvSpPr>
        <xdr:cNvPr id="796" name="Имя " descr="Descr 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454</xdr:row>
      <xdr:rowOff>647700</xdr:rowOff>
    </xdr:from>
    <xdr:to>
      <xdr:col>3</xdr:col>
      <xdr:colOff>180975</xdr:colOff>
      <xdr:row>454</xdr:row>
      <xdr:rowOff>800100</xdr:rowOff>
    </xdr:to>
    <xdr:sp macro="" textlink="">
      <xdr:nvSpPr>
        <xdr:cNvPr id="798" name="Имя " descr="Descr 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455</xdr:row>
      <xdr:rowOff>647700</xdr:rowOff>
    </xdr:from>
    <xdr:to>
      <xdr:col>3</xdr:col>
      <xdr:colOff>180975</xdr:colOff>
      <xdr:row>455</xdr:row>
      <xdr:rowOff>800100</xdr:rowOff>
    </xdr:to>
    <xdr:sp macro="" textlink="">
      <xdr:nvSpPr>
        <xdr:cNvPr id="800" name="Имя " descr="Descr 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456</xdr:row>
      <xdr:rowOff>647700</xdr:rowOff>
    </xdr:from>
    <xdr:to>
      <xdr:col>3</xdr:col>
      <xdr:colOff>180975</xdr:colOff>
      <xdr:row>456</xdr:row>
      <xdr:rowOff>800100</xdr:rowOff>
    </xdr:to>
    <xdr:sp macro="" textlink="">
      <xdr:nvSpPr>
        <xdr:cNvPr id="802" name="Имя " descr="Descr 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457</xdr:row>
      <xdr:rowOff>647700</xdr:rowOff>
    </xdr:from>
    <xdr:to>
      <xdr:col>3</xdr:col>
      <xdr:colOff>180975</xdr:colOff>
      <xdr:row>457</xdr:row>
      <xdr:rowOff>800100</xdr:rowOff>
    </xdr:to>
    <xdr:sp macro="" textlink="">
      <xdr:nvSpPr>
        <xdr:cNvPr id="804" name="Имя " descr="Descr 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458</xdr:row>
      <xdr:rowOff>647700</xdr:rowOff>
    </xdr:from>
    <xdr:to>
      <xdr:col>3</xdr:col>
      <xdr:colOff>180975</xdr:colOff>
      <xdr:row>458</xdr:row>
      <xdr:rowOff>800100</xdr:rowOff>
    </xdr:to>
    <xdr:sp macro="" textlink="">
      <xdr:nvSpPr>
        <xdr:cNvPr id="806" name="Имя " descr="Descr 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459</xdr:row>
      <xdr:rowOff>647700</xdr:rowOff>
    </xdr:from>
    <xdr:to>
      <xdr:col>3</xdr:col>
      <xdr:colOff>180975</xdr:colOff>
      <xdr:row>459</xdr:row>
      <xdr:rowOff>800100</xdr:rowOff>
    </xdr:to>
    <xdr:sp macro="" textlink="">
      <xdr:nvSpPr>
        <xdr:cNvPr id="808" name="Имя " descr="Descr 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460</xdr:row>
      <xdr:rowOff>647700</xdr:rowOff>
    </xdr:from>
    <xdr:to>
      <xdr:col>3</xdr:col>
      <xdr:colOff>180975</xdr:colOff>
      <xdr:row>460</xdr:row>
      <xdr:rowOff>800100</xdr:rowOff>
    </xdr:to>
    <xdr:sp macro="" textlink="">
      <xdr:nvSpPr>
        <xdr:cNvPr id="810" name="Имя " descr="Descr 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461</xdr:row>
      <xdr:rowOff>647700</xdr:rowOff>
    </xdr:from>
    <xdr:to>
      <xdr:col>3</xdr:col>
      <xdr:colOff>180975</xdr:colOff>
      <xdr:row>461</xdr:row>
      <xdr:rowOff>800100</xdr:rowOff>
    </xdr:to>
    <xdr:sp macro="" textlink="">
      <xdr:nvSpPr>
        <xdr:cNvPr id="812" name="Имя " descr="Descr 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462</xdr:row>
      <xdr:rowOff>647700</xdr:rowOff>
    </xdr:from>
    <xdr:to>
      <xdr:col>3</xdr:col>
      <xdr:colOff>180975</xdr:colOff>
      <xdr:row>462</xdr:row>
      <xdr:rowOff>800100</xdr:rowOff>
    </xdr:to>
    <xdr:sp macro="" textlink="">
      <xdr:nvSpPr>
        <xdr:cNvPr id="814" name="Имя " descr="Descr 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464</xdr:row>
      <xdr:rowOff>647700</xdr:rowOff>
    </xdr:from>
    <xdr:to>
      <xdr:col>3</xdr:col>
      <xdr:colOff>180975</xdr:colOff>
      <xdr:row>464</xdr:row>
      <xdr:rowOff>800100</xdr:rowOff>
    </xdr:to>
    <xdr:sp macro="" textlink="">
      <xdr:nvSpPr>
        <xdr:cNvPr id="816" name="Имя " descr="Descr 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465</xdr:row>
      <xdr:rowOff>647700</xdr:rowOff>
    </xdr:from>
    <xdr:to>
      <xdr:col>3</xdr:col>
      <xdr:colOff>180975</xdr:colOff>
      <xdr:row>465</xdr:row>
      <xdr:rowOff>800100</xdr:rowOff>
    </xdr:to>
    <xdr:sp macro="" textlink="">
      <xdr:nvSpPr>
        <xdr:cNvPr id="818" name="Имя " descr="Descr 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466</xdr:row>
      <xdr:rowOff>647700</xdr:rowOff>
    </xdr:from>
    <xdr:to>
      <xdr:col>3</xdr:col>
      <xdr:colOff>180975</xdr:colOff>
      <xdr:row>466</xdr:row>
      <xdr:rowOff>800100</xdr:rowOff>
    </xdr:to>
    <xdr:sp macro="" textlink="">
      <xdr:nvSpPr>
        <xdr:cNvPr id="820" name="Имя " descr="Descr 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467</xdr:row>
      <xdr:rowOff>647700</xdr:rowOff>
    </xdr:from>
    <xdr:to>
      <xdr:col>3</xdr:col>
      <xdr:colOff>180975</xdr:colOff>
      <xdr:row>467</xdr:row>
      <xdr:rowOff>800100</xdr:rowOff>
    </xdr:to>
    <xdr:sp macro="" textlink="">
      <xdr:nvSpPr>
        <xdr:cNvPr id="822" name="Имя " descr="Descr 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468</xdr:row>
      <xdr:rowOff>647700</xdr:rowOff>
    </xdr:from>
    <xdr:to>
      <xdr:col>3</xdr:col>
      <xdr:colOff>180975</xdr:colOff>
      <xdr:row>468</xdr:row>
      <xdr:rowOff>800100</xdr:rowOff>
    </xdr:to>
    <xdr:sp macro="" textlink="">
      <xdr:nvSpPr>
        <xdr:cNvPr id="824" name="Имя " descr="Descr 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469</xdr:row>
      <xdr:rowOff>647700</xdr:rowOff>
    </xdr:from>
    <xdr:to>
      <xdr:col>3</xdr:col>
      <xdr:colOff>180975</xdr:colOff>
      <xdr:row>469</xdr:row>
      <xdr:rowOff>800100</xdr:rowOff>
    </xdr:to>
    <xdr:sp macro="" textlink="">
      <xdr:nvSpPr>
        <xdr:cNvPr id="826" name="Имя " descr="Descr 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470</xdr:row>
      <xdr:rowOff>647700</xdr:rowOff>
    </xdr:from>
    <xdr:to>
      <xdr:col>3</xdr:col>
      <xdr:colOff>180975</xdr:colOff>
      <xdr:row>470</xdr:row>
      <xdr:rowOff>800100</xdr:rowOff>
    </xdr:to>
    <xdr:sp macro="" textlink="">
      <xdr:nvSpPr>
        <xdr:cNvPr id="828" name="Имя " descr="Descr 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471</xdr:row>
      <xdr:rowOff>647700</xdr:rowOff>
    </xdr:from>
    <xdr:to>
      <xdr:col>3</xdr:col>
      <xdr:colOff>180975</xdr:colOff>
      <xdr:row>471</xdr:row>
      <xdr:rowOff>800100</xdr:rowOff>
    </xdr:to>
    <xdr:sp macro="" textlink="">
      <xdr:nvSpPr>
        <xdr:cNvPr id="830" name="Имя " descr="Descr 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472</xdr:row>
      <xdr:rowOff>647700</xdr:rowOff>
    </xdr:from>
    <xdr:to>
      <xdr:col>3</xdr:col>
      <xdr:colOff>180975</xdr:colOff>
      <xdr:row>472</xdr:row>
      <xdr:rowOff>800100</xdr:rowOff>
    </xdr:to>
    <xdr:sp macro="" textlink="">
      <xdr:nvSpPr>
        <xdr:cNvPr id="832" name="Имя " descr="Descr 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473</xdr:row>
      <xdr:rowOff>647700</xdr:rowOff>
    </xdr:from>
    <xdr:to>
      <xdr:col>3</xdr:col>
      <xdr:colOff>180975</xdr:colOff>
      <xdr:row>473</xdr:row>
      <xdr:rowOff>800100</xdr:rowOff>
    </xdr:to>
    <xdr:sp macro="" textlink="">
      <xdr:nvSpPr>
        <xdr:cNvPr id="834" name="Имя " descr="Descr 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474</xdr:row>
      <xdr:rowOff>647700</xdr:rowOff>
    </xdr:from>
    <xdr:to>
      <xdr:col>3</xdr:col>
      <xdr:colOff>180975</xdr:colOff>
      <xdr:row>474</xdr:row>
      <xdr:rowOff>800100</xdr:rowOff>
    </xdr:to>
    <xdr:sp macro="" textlink="">
      <xdr:nvSpPr>
        <xdr:cNvPr id="836" name="Имя " descr="Descr 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475</xdr:row>
      <xdr:rowOff>647700</xdr:rowOff>
    </xdr:from>
    <xdr:to>
      <xdr:col>3</xdr:col>
      <xdr:colOff>180975</xdr:colOff>
      <xdr:row>475</xdr:row>
      <xdr:rowOff>800100</xdr:rowOff>
    </xdr:to>
    <xdr:sp macro="" textlink="">
      <xdr:nvSpPr>
        <xdr:cNvPr id="838" name="Имя " descr="Descr 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476</xdr:row>
      <xdr:rowOff>647700</xdr:rowOff>
    </xdr:from>
    <xdr:to>
      <xdr:col>3</xdr:col>
      <xdr:colOff>180975</xdr:colOff>
      <xdr:row>476</xdr:row>
      <xdr:rowOff>800100</xdr:rowOff>
    </xdr:to>
    <xdr:sp macro="" textlink="">
      <xdr:nvSpPr>
        <xdr:cNvPr id="840" name="Имя " descr="Descr 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477</xdr:row>
      <xdr:rowOff>647700</xdr:rowOff>
    </xdr:from>
    <xdr:to>
      <xdr:col>3</xdr:col>
      <xdr:colOff>180975</xdr:colOff>
      <xdr:row>477</xdr:row>
      <xdr:rowOff>800100</xdr:rowOff>
    </xdr:to>
    <xdr:sp macro="" textlink="">
      <xdr:nvSpPr>
        <xdr:cNvPr id="842" name="Имя " descr="Descr 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478</xdr:row>
      <xdr:rowOff>647700</xdr:rowOff>
    </xdr:from>
    <xdr:to>
      <xdr:col>3</xdr:col>
      <xdr:colOff>180975</xdr:colOff>
      <xdr:row>478</xdr:row>
      <xdr:rowOff>800100</xdr:rowOff>
    </xdr:to>
    <xdr:sp macro="" textlink="">
      <xdr:nvSpPr>
        <xdr:cNvPr id="844" name="Имя " descr="Descr 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479</xdr:row>
      <xdr:rowOff>647700</xdr:rowOff>
    </xdr:from>
    <xdr:to>
      <xdr:col>3</xdr:col>
      <xdr:colOff>180975</xdr:colOff>
      <xdr:row>479</xdr:row>
      <xdr:rowOff>800100</xdr:rowOff>
    </xdr:to>
    <xdr:sp macro="" textlink="">
      <xdr:nvSpPr>
        <xdr:cNvPr id="846" name="Имя " descr="Descr 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480</xdr:row>
      <xdr:rowOff>647700</xdr:rowOff>
    </xdr:from>
    <xdr:to>
      <xdr:col>3</xdr:col>
      <xdr:colOff>180975</xdr:colOff>
      <xdr:row>480</xdr:row>
      <xdr:rowOff>800100</xdr:rowOff>
    </xdr:to>
    <xdr:sp macro="" textlink="">
      <xdr:nvSpPr>
        <xdr:cNvPr id="848" name="Имя " descr="Descr 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481</xdr:row>
      <xdr:rowOff>647700</xdr:rowOff>
    </xdr:from>
    <xdr:to>
      <xdr:col>3</xdr:col>
      <xdr:colOff>180975</xdr:colOff>
      <xdr:row>481</xdr:row>
      <xdr:rowOff>800100</xdr:rowOff>
    </xdr:to>
    <xdr:sp macro="" textlink="">
      <xdr:nvSpPr>
        <xdr:cNvPr id="850" name="Имя " descr="Descr 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482</xdr:row>
      <xdr:rowOff>647700</xdr:rowOff>
    </xdr:from>
    <xdr:to>
      <xdr:col>3</xdr:col>
      <xdr:colOff>180975</xdr:colOff>
      <xdr:row>482</xdr:row>
      <xdr:rowOff>800100</xdr:rowOff>
    </xdr:to>
    <xdr:sp macro="" textlink="">
      <xdr:nvSpPr>
        <xdr:cNvPr id="852" name="Имя " descr="Descr 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483</xdr:row>
      <xdr:rowOff>647700</xdr:rowOff>
    </xdr:from>
    <xdr:to>
      <xdr:col>3</xdr:col>
      <xdr:colOff>180975</xdr:colOff>
      <xdr:row>483</xdr:row>
      <xdr:rowOff>800100</xdr:rowOff>
    </xdr:to>
    <xdr:sp macro="" textlink="">
      <xdr:nvSpPr>
        <xdr:cNvPr id="854" name="Имя " descr="Descr 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484</xdr:row>
      <xdr:rowOff>647700</xdr:rowOff>
    </xdr:from>
    <xdr:to>
      <xdr:col>3</xdr:col>
      <xdr:colOff>180975</xdr:colOff>
      <xdr:row>484</xdr:row>
      <xdr:rowOff>800100</xdr:rowOff>
    </xdr:to>
    <xdr:sp macro="" textlink="">
      <xdr:nvSpPr>
        <xdr:cNvPr id="856" name="Имя " descr="Descr 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485</xdr:row>
      <xdr:rowOff>647700</xdr:rowOff>
    </xdr:from>
    <xdr:to>
      <xdr:col>3</xdr:col>
      <xdr:colOff>180975</xdr:colOff>
      <xdr:row>485</xdr:row>
      <xdr:rowOff>800100</xdr:rowOff>
    </xdr:to>
    <xdr:sp macro="" textlink="">
      <xdr:nvSpPr>
        <xdr:cNvPr id="858" name="Имя " descr="Descr 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486</xdr:row>
      <xdr:rowOff>647700</xdr:rowOff>
    </xdr:from>
    <xdr:to>
      <xdr:col>3</xdr:col>
      <xdr:colOff>180975</xdr:colOff>
      <xdr:row>486</xdr:row>
      <xdr:rowOff>800100</xdr:rowOff>
    </xdr:to>
    <xdr:sp macro="" textlink="">
      <xdr:nvSpPr>
        <xdr:cNvPr id="860" name="Имя " descr="Descr 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487</xdr:row>
      <xdr:rowOff>647700</xdr:rowOff>
    </xdr:from>
    <xdr:to>
      <xdr:col>3</xdr:col>
      <xdr:colOff>180975</xdr:colOff>
      <xdr:row>487</xdr:row>
      <xdr:rowOff>800100</xdr:rowOff>
    </xdr:to>
    <xdr:sp macro="" textlink="">
      <xdr:nvSpPr>
        <xdr:cNvPr id="862" name="Имя " descr="Descr 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488</xdr:row>
      <xdr:rowOff>647700</xdr:rowOff>
    </xdr:from>
    <xdr:to>
      <xdr:col>3</xdr:col>
      <xdr:colOff>180975</xdr:colOff>
      <xdr:row>488</xdr:row>
      <xdr:rowOff>800100</xdr:rowOff>
    </xdr:to>
    <xdr:sp macro="" textlink="">
      <xdr:nvSpPr>
        <xdr:cNvPr id="864" name="Имя " descr="Descr 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490</xdr:row>
      <xdr:rowOff>647700</xdr:rowOff>
    </xdr:from>
    <xdr:to>
      <xdr:col>3</xdr:col>
      <xdr:colOff>180975</xdr:colOff>
      <xdr:row>490</xdr:row>
      <xdr:rowOff>800100</xdr:rowOff>
    </xdr:to>
    <xdr:sp macro="" textlink="">
      <xdr:nvSpPr>
        <xdr:cNvPr id="866" name="Имя " descr="Descr 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491</xdr:row>
      <xdr:rowOff>647700</xdr:rowOff>
    </xdr:from>
    <xdr:to>
      <xdr:col>3</xdr:col>
      <xdr:colOff>180975</xdr:colOff>
      <xdr:row>491</xdr:row>
      <xdr:rowOff>800100</xdr:rowOff>
    </xdr:to>
    <xdr:sp macro="" textlink="">
      <xdr:nvSpPr>
        <xdr:cNvPr id="868" name="Имя " descr="Descr 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492</xdr:row>
      <xdr:rowOff>647700</xdr:rowOff>
    </xdr:from>
    <xdr:to>
      <xdr:col>3</xdr:col>
      <xdr:colOff>180975</xdr:colOff>
      <xdr:row>492</xdr:row>
      <xdr:rowOff>800100</xdr:rowOff>
    </xdr:to>
    <xdr:sp macro="" textlink="">
      <xdr:nvSpPr>
        <xdr:cNvPr id="870" name="Имя " descr="Descr 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493</xdr:row>
      <xdr:rowOff>647700</xdr:rowOff>
    </xdr:from>
    <xdr:to>
      <xdr:col>3</xdr:col>
      <xdr:colOff>180975</xdr:colOff>
      <xdr:row>493</xdr:row>
      <xdr:rowOff>800100</xdr:rowOff>
    </xdr:to>
    <xdr:sp macro="" textlink="">
      <xdr:nvSpPr>
        <xdr:cNvPr id="872" name="Имя " descr="Descr 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494</xdr:row>
      <xdr:rowOff>647700</xdr:rowOff>
    </xdr:from>
    <xdr:to>
      <xdr:col>3</xdr:col>
      <xdr:colOff>180975</xdr:colOff>
      <xdr:row>494</xdr:row>
      <xdr:rowOff>800100</xdr:rowOff>
    </xdr:to>
    <xdr:sp macro="" textlink="">
      <xdr:nvSpPr>
        <xdr:cNvPr id="874" name="Имя " descr="Descr 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495</xdr:row>
      <xdr:rowOff>647700</xdr:rowOff>
    </xdr:from>
    <xdr:to>
      <xdr:col>3</xdr:col>
      <xdr:colOff>180975</xdr:colOff>
      <xdr:row>495</xdr:row>
      <xdr:rowOff>800100</xdr:rowOff>
    </xdr:to>
    <xdr:sp macro="" textlink="">
      <xdr:nvSpPr>
        <xdr:cNvPr id="876" name="Имя " descr="Descr 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496</xdr:row>
      <xdr:rowOff>647700</xdr:rowOff>
    </xdr:from>
    <xdr:to>
      <xdr:col>3</xdr:col>
      <xdr:colOff>180975</xdr:colOff>
      <xdr:row>496</xdr:row>
      <xdr:rowOff>800100</xdr:rowOff>
    </xdr:to>
    <xdr:sp macro="" textlink="">
      <xdr:nvSpPr>
        <xdr:cNvPr id="878" name="Имя " descr="Descr 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497</xdr:row>
      <xdr:rowOff>647700</xdr:rowOff>
    </xdr:from>
    <xdr:to>
      <xdr:col>3</xdr:col>
      <xdr:colOff>180975</xdr:colOff>
      <xdr:row>497</xdr:row>
      <xdr:rowOff>800100</xdr:rowOff>
    </xdr:to>
    <xdr:sp macro="" textlink="">
      <xdr:nvSpPr>
        <xdr:cNvPr id="880" name="Имя " descr="Descr 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498</xdr:row>
      <xdr:rowOff>647700</xdr:rowOff>
    </xdr:from>
    <xdr:to>
      <xdr:col>3</xdr:col>
      <xdr:colOff>180975</xdr:colOff>
      <xdr:row>498</xdr:row>
      <xdr:rowOff>800100</xdr:rowOff>
    </xdr:to>
    <xdr:sp macro="" textlink="">
      <xdr:nvSpPr>
        <xdr:cNvPr id="882" name="Имя " descr="Descr 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500</xdr:row>
      <xdr:rowOff>647700</xdr:rowOff>
    </xdr:from>
    <xdr:to>
      <xdr:col>3</xdr:col>
      <xdr:colOff>180975</xdr:colOff>
      <xdr:row>500</xdr:row>
      <xdr:rowOff>800100</xdr:rowOff>
    </xdr:to>
    <xdr:sp macro="" textlink="">
      <xdr:nvSpPr>
        <xdr:cNvPr id="884" name="Имя " descr="Descr 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501</xdr:row>
      <xdr:rowOff>647700</xdr:rowOff>
    </xdr:from>
    <xdr:to>
      <xdr:col>3</xdr:col>
      <xdr:colOff>180975</xdr:colOff>
      <xdr:row>501</xdr:row>
      <xdr:rowOff>800100</xdr:rowOff>
    </xdr:to>
    <xdr:sp macro="" textlink="">
      <xdr:nvSpPr>
        <xdr:cNvPr id="886" name="Имя " descr="Descr 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503</xdr:row>
      <xdr:rowOff>647700</xdr:rowOff>
    </xdr:from>
    <xdr:to>
      <xdr:col>3</xdr:col>
      <xdr:colOff>180975</xdr:colOff>
      <xdr:row>503</xdr:row>
      <xdr:rowOff>800100</xdr:rowOff>
    </xdr:to>
    <xdr:sp macro="" textlink="">
      <xdr:nvSpPr>
        <xdr:cNvPr id="888" name="Имя " descr="Descr 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504</xdr:row>
      <xdr:rowOff>647700</xdr:rowOff>
    </xdr:from>
    <xdr:to>
      <xdr:col>3</xdr:col>
      <xdr:colOff>180975</xdr:colOff>
      <xdr:row>504</xdr:row>
      <xdr:rowOff>800100</xdr:rowOff>
    </xdr:to>
    <xdr:sp macro="" textlink="">
      <xdr:nvSpPr>
        <xdr:cNvPr id="890" name="Имя " descr="Descr 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505</xdr:row>
      <xdr:rowOff>647700</xdr:rowOff>
    </xdr:from>
    <xdr:to>
      <xdr:col>3</xdr:col>
      <xdr:colOff>180975</xdr:colOff>
      <xdr:row>505</xdr:row>
      <xdr:rowOff>800100</xdr:rowOff>
    </xdr:to>
    <xdr:sp macro="" textlink="">
      <xdr:nvSpPr>
        <xdr:cNvPr id="892" name="Имя " descr="Descr 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507</xdr:row>
      <xdr:rowOff>647700</xdr:rowOff>
    </xdr:from>
    <xdr:to>
      <xdr:col>3</xdr:col>
      <xdr:colOff>180975</xdr:colOff>
      <xdr:row>507</xdr:row>
      <xdr:rowOff>800100</xdr:rowOff>
    </xdr:to>
    <xdr:sp macro="" textlink="">
      <xdr:nvSpPr>
        <xdr:cNvPr id="894" name="Имя " descr="Descr 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508</xdr:row>
      <xdr:rowOff>647700</xdr:rowOff>
    </xdr:from>
    <xdr:to>
      <xdr:col>3</xdr:col>
      <xdr:colOff>180975</xdr:colOff>
      <xdr:row>508</xdr:row>
      <xdr:rowOff>800100</xdr:rowOff>
    </xdr:to>
    <xdr:sp macro="" textlink="">
      <xdr:nvSpPr>
        <xdr:cNvPr id="896" name="Имя " descr="Descr 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509</xdr:row>
      <xdr:rowOff>647700</xdr:rowOff>
    </xdr:from>
    <xdr:to>
      <xdr:col>3</xdr:col>
      <xdr:colOff>180975</xdr:colOff>
      <xdr:row>509</xdr:row>
      <xdr:rowOff>800100</xdr:rowOff>
    </xdr:to>
    <xdr:sp macro="" textlink="">
      <xdr:nvSpPr>
        <xdr:cNvPr id="898" name="Имя " descr="Descr 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510</xdr:row>
      <xdr:rowOff>647700</xdr:rowOff>
    </xdr:from>
    <xdr:to>
      <xdr:col>3</xdr:col>
      <xdr:colOff>180975</xdr:colOff>
      <xdr:row>510</xdr:row>
      <xdr:rowOff>800100</xdr:rowOff>
    </xdr:to>
    <xdr:sp macro="" textlink="">
      <xdr:nvSpPr>
        <xdr:cNvPr id="900" name="Имя " descr="Descr 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511</xdr:row>
      <xdr:rowOff>647700</xdr:rowOff>
    </xdr:from>
    <xdr:to>
      <xdr:col>3</xdr:col>
      <xdr:colOff>180975</xdr:colOff>
      <xdr:row>511</xdr:row>
      <xdr:rowOff>800100</xdr:rowOff>
    </xdr:to>
    <xdr:sp macro="" textlink="">
      <xdr:nvSpPr>
        <xdr:cNvPr id="902" name="Имя " descr="Descr 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512</xdr:row>
      <xdr:rowOff>647700</xdr:rowOff>
    </xdr:from>
    <xdr:to>
      <xdr:col>3</xdr:col>
      <xdr:colOff>180975</xdr:colOff>
      <xdr:row>512</xdr:row>
      <xdr:rowOff>800100</xdr:rowOff>
    </xdr:to>
    <xdr:sp macro="" textlink="">
      <xdr:nvSpPr>
        <xdr:cNvPr id="904" name="Имя " descr="Descr 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513</xdr:row>
      <xdr:rowOff>647700</xdr:rowOff>
    </xdr:from>
    <xdr:to>
      <xdr:col>3</xdr:col>
      <xdr:colOff>180975</xdr:colOff>
      <xdr:row>513</xdr:row>
      <xdr:rowOff>800100</xdr:rowOff>
    </xdr:to>
    <xdr:sp macro="" textlink="">
      <xdr:nvSpPr>
        <xdr:cNvPr id="906" name="Имя " descr="Descr 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514</xdr:row>
      <xdr:rowOff>647700</xdr:rowOff>
    </xdr:from>
    <xdr:to>
      <xdr:col>3</xdr:col>
      <xdr:colOff>180975</xdr:colOff>
      <xdr:row>514</xdr:row>
      <xdr:rowOff>800100</xdr:rowOff>
    </xdr:to>
    <xdr:sp macro="" textlink="">
      <xdr:nvSpPr>
        <xdr:cNvPr id="908" name="Имя " descr="Descr 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515</xdr:row>
      <xdr:rowOff>647700</xdr:rowOff>
    </xdr:from>
    <xdr:to>
      <xdr:col>3</xdr:col>
      <xdr:colOff>180975</xdr:colOff>
      <xdr:row>515</xdr:row>
      <xdr:rowOff>800100</xdr:rowOff>
    </xdr:to>
    <xdr:sp macro="" textlink="">
      <xdr:nvSpPr>
        <xdr:cNvPr id="910" name="Имя " descr="Descr 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516</xdr:row>
      <xdr:rowOff>647700</xdr:rowOff>
    </xdr:from>
    <xdr:to>
      <xdr:col>3</xdr:col>
      <xdr:colOff>180975</xdr:colOff>
      <xdr:row>516</xdr:row>
      <xdr:rowOff>800100</xdr:rowOff>
    </xdr:to>
    <xdr:sp macro="" textlink="">
      <xdr:nvSpPr>
        <xdr:cNvPr id="912" name="Имя " descr="Descr 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517</xdr:row>
      <xdr:rowOff>647700</xdr:rowOff>
    </xdr:from>
    <xdr:to>
      <xdr:col>3</xdr:col>
      <xdr:colOff>180975</xdr:colOff>
      <xdr:row>517</xdr:row>
      <xdr:rowOff>800100</xdr:rowOff>
    </xdr:to>
    <xdr:sp macro="" textlink="">
      <xdr:nvSpPr>
        <xdr:cNvPr id="914" name="Имя " descr="Descr 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518</xdr:row>
      <xdr:rowOff>647700</xdr:rowOff>
    </xdr:from>
    <xdr:to>
      <xdr:col>3</xdr:col>
      <xdr:colOff>180975</xdr:colOff>
      <xdr:row>518</xdr:row>
      <xdr:rowOff>800100</xdr:rowOff>
    </xdr:to>
    <xdr:sp macro="" textlink="">
      <xdr:nvSpPr>
        <xdr:cNvPr id="916" name="Имя " descr="Descr 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519</xdr:row>
      <xdr:rowOff>647700</xdr:rowOff>
    </xdr:from>
    <xdr:to>
      <xdr:col>3</xdr:col>
      <xdr:colOff>180975</xdr:colOff>
      <xdr:row>519</xdr:row>
      <xdr:rowOff>800100</xdr:rowOff>
    </xdr:to>
    <xdr:sp macro="" textlink="">
      <xdr:nvSpPr>
        <xdr:cNvPr id="918" name="Имя " descr="Descr 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520</xdr:row>
      <xdr:rowOff>647700</xdr:rowOff>
    </xdr:from>
    <xdr:to>
      <xdr:col>3</xdr:col>
      <xdr:colOff>180975</xdr:colOff>
      <xdr:row>520</xdr:row>
      <xdr:rowOff>800100</xdr:rowOff>
    </xdr:to>
    <xdr:sp macro="" textlink="">
      <xdr:nvSpPr>
        <xdr:cNvPr id="920" name="Имя " descr="Descr 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521</xdr:row>
      <xdr:rowOff>647700</xdr:rowOff>
    </xdr:from>
    <xdr:to>
      <xdr:col>3</xdr:col>
      <xdr:colOff>180975</xdr:colOff>
      <xdr:row>521</xdr:row>
      <xdr:rowOff>800100</xdr:rowOff>
    </xdr:to>
    <xdr:sp macro="" textlink="">
      <xdr:nvSpPr>
        <xdr:cNvPr id="922" name="Имя " descr="Descr 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522</xdr:row>
      <xdr:rowOff>647700</xdr:rowOff>
    </xdr:from>
    <xdr:to>
      <xdr:col>3</xdr:col>
      <xdr:colOff>180975</xdr:colOff>
      <xdr:row>522</xdr:row>
      <xdr:rowOff>800100</xdr:rowOff>
    </xdr:to>
    <xdr:sp macro="" textlink="">
      <xdr:nvSpPr>
        <xdr:cNvPr id="924" name="Имя " descr="Descr 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523</xdr:row>
      <xdr:rowOff>647700</xdr:rowOff>
    </xdr:from>
    <xdr:to>
      <xdr:col>3</xdr:col>
      <xdr:colOff>180975</xdr:colOff>
      <xdr:row>523</xdr:row>
      <xdr:rowOff>800100</xdr:rowOff>
    </xdr:to>
    <xdr:sp macro="" textlink="">
      <xdr:nvSpPr>
        <xdr:cNvPr id="926" name="Имя " descr="Descr 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524</xdr:row>
      <xdr:rowOff>647700</xdr:rowOff>
    </xdr:from>
    <xdr:to>
      <xdr:col>3</xdr:col>
      <xdr:colOff>180975</xdr:colOff>
      <xdr:row>524</xdr:row>
      <xdr:rowOff>800100</xdr:rowOff>
    </xdr:to>
    <xdr:sp macro="" textlink="">
      <xdr:nvSpPr>
        <xdr:cNvPr id="928" name="Имя " descr="Descr 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525</xdr:row>
      <xdr:rowOff>647700</xdr:rowOff>
    </xdr:from>
    <xdr:to>
      <xdr:col>3</xdr:col>
      <xdr:colOff>180975</xdr:colOff>
      <xdr:row>525</xdr:row>
      <xdr:rowOff>800100</xdr:rowOff>
    </xdr:to>
    <xdr:sp macro="" textlink="">
      <xdr:nvSpPr>
        <xdr:cNvPr id="930" name="Имя " descr="Descr 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527</xdr:row>
      <xdr:rowOff>647700</xdr:rowOff>
    </xdr:from>
    <xdr:to>
      <xdr:col>3</xdr:col>
      <xdr:colOff>180975</xdr:colOff>
      <xdr:row>527</xdr:row>
      <xdr:rowOff>800100</xdr:rowOff>
    </xdr:to>
    <xdr:sp macro="" textlink="">
      <xdr:nvSpPr>
        <xdr:cNvPr id="932" name="Имя " descr="Descr 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528</xdr:row>
      <xdr:rowOff>647700</xdr:rowOff>
    </xdr:from>
    <xdr:to>
      <xdr:col>3</xdr:col>
      <xdr:colOff>180975</xdr:colOff>
      <xdr:row>528</xdr:row>
      <xdr:rowOff>800100</xdr:rowOff>
    </xdr:to>
    <xdr:sp macro="" textlink="">
      <xdr:nvSpPr>
        <xdr:cNvPr id="934" name="Имя " descr="Descr 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529</xdr:row>
      <xdr:rowOff>647700</xdr:rowOff>
    </xdr:from>
    <xdr:to>
      <xdr:col>3</xdr:col>
      <xdr:colOff>180975</xdr:colOff>
      <xdr:row>529</xdr:row>
      <xdr:rowOff>800100</xdr:rowOff>
    </xdr:to>
    <xdr:sp macro="" textlink="">
      <xdr:nvSpPr>
        <xdr:cNvPr id="936" name="Имя " descr="Descr 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530</xdr:row>
      <xdr:rowOff>647700</xdr:rowOff>
    </xdr:from>
    <xdr:to>
      <xdr:col>3</xdr:col>
      <xdr:colOff>180975</xdr:colOff>
      <xdr:row>530</xdr:row>
      <xdr:rowOff>800100</xdr:rowOff>
    </xdr:to>
    <xdr:sp macro="" textlink="">
      <xdr:nvSpPr>
        <xdr:cNvPr id="938" name="Имя " descr="Descr 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531</xdr:row>
      <xdr:rowOff>647700</xdr:rowOff>
    </xdr:from>
    <xdr:to>
      <xdr:col>3</xdr:col>
      <xdr:colOff>180975</xdr:colOff>
      <xdr:row>531</xdr:row>
      <xdr:rowOff>800100</xdr:rowOff>
    </xdr:to>
    <xdr:sp macro="" textlink="">
      <xdr:nvSpPr>
        <xdr:cNvPr id="940" name="Имя " descr="Descr 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532</xdr:row>
      <xdr:rowOff>647700</xdr:rowOff>
    </xdr:from>
    <xdr:to>
      <xdr:col>3</xdr:col>
      <xdr:colOff>180975</xdr:colOff>
      <xdr:row>532</xdr:row>
      <xdr:rowOff>800100</xdr:rowOff>
    </xdr:to>
    <xdr:sp macro="" textlink="">
      <xdr:nvSpPr>
        <xdr:cNvPr id="942" name="Имя " descr="Descr 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533</xdr:row>
      <xdr:rowOff>647700</xdr:rowOff>
    </xdr:from>
    <xdr:to>
      <xdr:col>3</xdr:col>
      <xdr:colOff>180975</xdr:colOff>
      <xdr:row>533</xdr:row>
      <xdr:rowOff>800100</xdr:rowOff>
    </xdr:to>
    <xdr:sp macro="" textlink="">
      <xdr:nvSpPr>
        <xdr:cNvPr id="944" name="Имя " descr="Descr 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534</xdr:row>
      <xdr:rowOff>647700</xdr:rowOff>
    </xdr:from>
    <xdr:to>
      <xdr:col>3</xdr:col>
      <xdr:colOff>180975</xdr:colOff>
      <xdr:row>534</xdr:row>
      <xdr:rowOff>800100</xdr:rowOff>
    </xdr:to>
    <xdr:sp macro="" textlink="">
      <xdr:nvSpPr>
        <xdr:cNvPr id="946" name="Имя " descr="Descr 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535</xdr:row>
      <xdr:rowOff>647700</xdr:rowOff>
    </xdr:from>
    <xdr:to>
      <xdr:col>3</xdr:col>
      <xdr:colOff>180975</xdr:colOff>
      <xdr:row>535</xdr:row>
      <xdr:rowOff>800100</xdr:rowOff>
    </xdr:to>
    <xdr:sp macro="" textlink="">
      <xdr:nvSpPr>
        <xdr:cNvPr id="948" name="Имя " descr="Descr 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536</xdr:row>
      <xdr:rowOff>647700</xdr:rowOff>
    </xdr:from>
    <xdr:to>
      <xdr:col>3</xdr:col>
      <xdr:colOff>180975</xdr:colOff>
      <xdr:row>536</xdr:row>
      <xdr:rowOff>800100</xdr:rowOff>
    </xdr:to>
    <xdr:sp macro="" textlink="">
      <xdr:nvSpPr>
        <xdr:cNvPr id="950" name="Имя " descr="Descr 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537</xdr:row>
      <xdr:rowOff>647700</xdr:rowOff>
    </xdr:from>
    <xdr:to>
      <xdr:col>3</xdr:col>
      <xdr:colOff>180975</xdr:colOff>
      <xdr:row>537</xdr:row>
      <xdr:rowOff>800100</xdr:rowOff>
    </xdr:to>
    <xdr:sp macro="" textlink="">
      <xdr:nvSpPr>
        <xdr:cNvPr id="952" name="Имя " descr="Descr 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538</xdr:row>
      <xdr:rowOff>647700</xdr:rowOff>
    </xdr:from>
    <xdr:to>
      <xdr:col>3</xdr:col>
      <xdr:colOff>180975</xdr:colOff>
      <xdr:row>538</xdr:row>
      <xdr:rowOff>800100</xdr:rowOff>
    </xdr:to>
    <xdr:sp macro="" textlink="">
      <xdr:nvSpPr>
        <xdr:cNvPr id="954" name="Имя " descr="Descr 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539</xdr:row>
      <xdr:rowOff>647700</xdr:rowOff>
    </xdr:from>
    <xdr:to>
      <xdr:col>3</xdr:col>
      <xdr:colOff>180975</xdr:colOff>
      <xdr:row>539</xdr:row>
      <xdr:rowOff>800100</xdr:rowOff>
    </xdr:to>
    <xdr:sp macro="" textlink="">
      <xdr:nvSpPr>
        <xdr:cNvPr id="956" name="Имя " descr="Descr 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540</xdr:row>
      <xdr:rowOff>647700</xdr:rowOff>
    </xdr:from>
    <xdr:to>
      <xdr:col>3</xdr:col>
      <xdr:colOff>180975</xdr:colOff>
      <xdr:row>540</xdr:row>
      <xdr:rowOff>800100</xdr:rowOff>
    </xdr:to>
    <xdr:sp macro="" textlink="">
      <xdr:nvSpPr>
        <xdr:cNvPr id="958" name="Имя " descr="Descr 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541</xdr:row>
      <xdr:rowOff>647700</xdr:rowOff>
    </xdr:from>
    <xdr:to>
      <xdr:col>3</xdr:col>
      <xdr:colOff>180975</xdr:colOff>
      <xdr:row>541</xdr:row>
      <xdr:rowOff>800100</xdr:rowOff>
    </xdr:to>
    <xdr:sp macro="" textlink="">
      <xdr:nvSpPr>
        <xdr:cNvPr id="960" name="Имя " descr="Descr 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542</xdr:row>
      <xdr:rowOff>647700</xdr:rowOff>
    </xdr:from>
    <xdr:to>
      <xdr:col>3</xdr:col>
      <xdr:colOff>180975</xdr:colOff>
      <xdr:row>542</xdr:row>
      <xdr:rowOff>800100</xdr:rowOff>
    </xdr:to>
    <xdr:sp macro="" textlink="">
      <xdr:nvSpPr>
        <xdr:cNvPr id="962" name="Имя " descr="Descr 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543</xdr:row>
      <xdr:rowOff>647700</xdr:rowOff>
    </xdr:from>
    <xdr:to>
      <xdr:col>3</xdr:col>
      <xdr:colOff>180975</xdr:colOff>
      <xdr:row>543</xdr:row>
      <xdr:rowOff>800100</xdr:rowOff>
    </xdr:to>
    <xdr:sp macro="" textlink="">
      <xdr:nvSpPr>
        <xdr:cNvPr id="964" name="Имя " descr="Descr 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544</xdr:row>
      <xdr:rowOff>647700</xdr:rowOff>
    </xdr:from>
    <xdr:to>
      <xdr:col>3</xdr:col>
      <xdr:colOff>180975</xdr:colOff>
      <xdr:row>544</xdr:row>
      <xdr:rowOff>800100</xdr:rowOff>
    </xdr:to>
    <xdr:sp macro="" textlink="">
      <xdr:nvSpPr>
        <xdr:cNvPr id="966" name="Имя " descr="Descr 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545</xdr:row>
      <xdr:rowOff>647700</xdr:rowOff>
    </xdr:from>
    <xdr:to>
      <xdr:col>3</xdr:col>
      <xdr:colOff>180975</xdr:colOff>
      <xdr:row>545</xdr:row>
      <xdr:rowOff>800100</xdr:rowOff>
    </xdr:to>
    <xdr:sp macro="" textlink="">
      <xdr:nvSpPr>
        <xdr:cNvPr id="968" name="Имя " descr="Descr 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546</xdr:row>
      <xdr:rowOff>647700</xdr:rowOff>
    </xdr:from>
    <xdr:to>
      <xdr:col>3</xdr:col>
      <xdr:colOff>180975</xdr:colOff>
      <xdr:row>546</xdr:row>
      <xdr:rowOff>800100</xdr:rowOff>
    </xdr:to>
    <xdr:sp macro="" textlink="">
      <xdr:nvSpPr>
        <xdr:cNvPr id="970" name="Имя " descr="Descr 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547</xdr:row>
      <xdr:rowOff>647700</xdr:rowOff>
    </xdr:from>
    <xdr:to>
      <xdr:col>3</xdr:col>
      <xdr:colOff>180975</xdr:colOff>
      <xdr:row>547</xdr:row>
      <xdr:rowOff>800100</xdr:rowOff>
    </xdr:to>
    <xdr:sp macro="" textlink="">
      <xdr:nvSpPr>
        <xdr:cNvPr id="972" name="Имя " descr="Descr 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548</xdr:row>
      <xdr:rowOff>647700</xdr:rowOff>
    </xdr:from>
    <xdr:to>
      <xdr:col>3</xdr:col>
      <xdr:colOff>180975</xdr:colOff>
      <xdr:row>548</xdr:row>
      <xdr:rowOff>800100</xdr:rowOff>
    </xdr:to>
    <xdr:sp macro="" textlink="">
      <xdr:nvSpPr>
        <xdr:cNvPr id="974" name="Имя " descr="Descr 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549</xdr:row>
      <xdr:rowOff>647700</xdr:rowOff>
    </xdr:from>
    <xdr:to>
      <xdr:col>3</xdr:col>
      <xdr:colOff>180975</xdr:colOff>
      <xdr:row>549</xdr:row>
      <xdr:rowOff>800100</xdr:rowOff>
    </xdr:to>
    <xdr:sp macro="" textlink="">
      <xdr:nvSpPr>
        <xdr:cNvPr id="976" name="Имя " descr="Descr 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550</xdr:row>
      <xdr:rowOff>647700</xdr:rowOff>
    </xdr:from>
    <xdr:to>
      <xdr:col>3</xdr:col>
      <xdr:colOff>180975</xdr:colOff>
      <xdr:row>550</xdr:row>
      <xdr:rowOff>800100</xdr:rowOff>
    </xdr:to>
    <xdr:sp macro="" textlink="">
      <xdr:nvSpPr>
        <xdr:cNvPr id="978" name="Имя " descr="Descr 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551</xdr:row>
      <xdr:rowOff>647700</xdr:rowOff>
    </xdr:from>
    <xdr:to>
      <xdr:col>3</xdr:col>
      <xdr:colOff>180975</xdr:colOff>
      <xdr:row>551</xdr:row>
      <xdr:rowOff>800100</xdr:rowOff>
    </xdr:to>
    <xdr:sp macro="" textlink="">
      <xdr:nvSpPr>
        <xdr:cNvPr id="980" name="Имя " descr="Descr 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552</xdr:row>
      <xdr:rowOff>647700</xdr:rowOff>
    </xdr:from>
    <xdr:to>
      <xdr:col>3</xdr:col>
      <xdr:colOff>180975</xdr:colOff>
      <xdr:row>552</xdr:row>
      <xdr:rowOff>800100</xdr:rowOff>
    </xdr:to>
    <xdr:sp macro="" textlink="">
      <xdr:nvSpPr>
        <xdr:cNvPr id="982" name="Имя " descr="Descr 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553</xdr:row>
      <xdr:rowOff>647700</xdr:rowOff>
    </xdr:from>
    <xdr:to>
      <xdr:col>3</xdr:col>
      <xdr:colOff>180975</xdr:colOff>
      <xdr:row>553</xdr:row>
      <xdr:rowOff>800100</xdr:rowOff>
    </xdr:to>
    <xdr:sp macro="" textlink="">
      <xdr:nvSpPr>
        <xdr:cNvPr id="984" name="Имя " descr="Descr 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554</xdr:row>
      <xdr:rowOff>647700</xdr:rowOff>
    </xdr:from>
    <xdr:to>
      <xdr:col>3</xdr:col>
      <xdr:colOff>180975</xdr:colOff>
      <xdr:row>554</xdr:row>
      <xdr:rowOff>800100</xdr:rowOff>
    </xdr:to>
    <xdr:sp macro="" textlink="">
      <xdr:nvSpPr>
        <xdr:cNvPr id="986" name="Имя " descr="Descr 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555</xdr:row>
      <xdr:rowOff>647700</xdr:rowOff>
    </xdr:from>
    <xdr:to>
      <xdr:col>3</xdr:col>
      <xdr:colOff>180975</xdr:colOff>
      <xdr:row>555</xdr:row>
      <xdr:rowOff>800100</xdr:rowOff>
    </xdr:to>
    <xdr:sp macro="" textlink="">
      <xdr:nvSpPr>
        <xdr:cNvPr id="988" name="Имя " descr="Descr 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556</xdr:row>
      <xdr:rowOff>647700</xdr:rowOff>
    </xdr:from>
    <xdr:to>
      <xdr:col>3</xdr:col>
      <xdr:colOff>180975</xdr:colOff>
      <xdr:row>556</xdr:row>
      <xdr:rowOff>800100</xdr:rowOff>
    </xdr:to>
    <xdr:sp macro="" textlink="">
      <xdr:nvSpPr>
        <xdr:cNvPr id="990" name="Имя " descr="Descr 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557</xdr:row>
      <xdr:rowOff>647700</xdr:rowOff>
    </xdr:from>
    <xdr:to>
      <xdr:col>3</xdr:col>
      <xdr:colOff>180975</xdr:colOff>
      <xdr:row>557</xdr:row>
      <xdr:rowOff>800100</xdr:rowOff>
    </xdr:to>
    <xdr:sp macro="" textlink="">
      <xdr:nvSpPr>
        <xdr:cNvPr id="992" name="Имя " descr="Descr 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558</xdr:row>
      <xdr:rowOff>647700</xdr:rowOff>
    </xdr:from>
    <xdr:to>
      <xdr:col>3</xdr:col>
      <xdr:colOff>180975</xdr:colOff>
      <xdr:row>558</xdr:row>
      <xdr:rowOff>800100</xdr:rowOff>
    </xdr:to>
    <xdr:sp macro="" textlink="">
      <xdr:nvSpPr>
        <xdr:cNvPr id="994" name="Имя " descr="Descr 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559</xdr:row>
      <xdr:rowOff>647700</xdr:rowOff>
    </xdr:from>
    <xdr:to>
      <xdr:col>3</xdr:col>
      <xdr:colOff>180975</xdr:colOff>
      <xdr:row>559</xdr:row>
      <xdr:rowOff>800100</xdr:rowOff>
    </xdr:to>
    <xdr:sp macro="" textlink="">
      <xdr:nvSpPr>
        <xdr:cNvPr id="996" name="Имя " descr="Descr 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560</xdr:row>
      <xdr:rowOff>647700</xdr:rowOff>
    </xdr:from>
    <xdr:to>
      <xdr:col>3</xdr:col>
      <xdr:colOff>180975</xdr:colOff>
      <xdr:row>560</xdr:row>
      <xdr:rowOff>800100</xdr:rowOff>
    </xdr:to>
    <xdr:sp macro="" textlink="">
      <xdr:nvSpPr>
        <xdr:cNvPr id="998" name="Имя " descr="Descr 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561</xdr:row>
      <xdr:rowOff>647700</xdr:rowOff>
    </xdr:from>
    <xdr:to>
      <xdr:col>3</xdr:col>
      <xdr:colOff>180975</xdr:colOff>
      <xdr:row>561</xdr:row>
      <xdr:rowOff>800100</xdr:rowOff>
    </xdr:to>
    <xdr:sp macro="" textlink="">
      <xdr:nvSpPr>
        <xdr:cNvPr id="1000" name="Имя " descr="Descr 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562</xdr:row>
      <xdr:rowOff>647700</xdr:rowOff>
    </xdr:from>
    <xdr:to>
      <xdr:col>3</xdr:col>
      <xdr:colOff>180975</xdr:colOff>
      <xdr:row>562</xdr:row>
      <xdr:rowOff>800100</xdr:rowOff>
    </xdr:to>
    <xdr:sp macro="" textlink="">
      <xdr:nvSpPr>
        <xdr:cNvPr id="1002" name="Имя " descr="Descr 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563</xdr:row>
      <xdr:rowOff>647700</xdr:rowOff>
    </xdr:from>
    <xdr:to>
      <xdr:col>3</xdr:col>
      <xdr:colOff>180975</xdr:colOff>
      <xdr:row>563</xdr:row>
      <xdr:rowOff>800100</xdr:rowOff>
    </xdr:to>
    <xdr:sp macro="" textlink="">
      <xdr:nvSpPr>
        <xdr:cNvPr id="1004" name="Имя " descr="Descr 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564</xdr:row>
      <xdr:rowOff>647700</xdr:rowOff>
    </xdr:from>
    <xdr:to>
      <xdr:col>3</xdr:col>
      <xdr:colOff>180975</xdr:colOff>
      <xdr:row>564</xdr:row>
      <xdr:rowOff>800100</xdr:rowOff>
    </xdr:to>
    <xdr:sp macro="" textlink="">
      <xdr:nvSpPr>
        <xdr:cNvPr id="1006" name="Имя " descr="Descr 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565</xdr:row>
      <xdr:rowOff>647700</xdr:rowOff>
    </xdr:from>
    <xdr:to>
      <xdr:col>3</xdr:col>
      <xdr:colOff>180975</xdr:colOff>
      <xdr:row>565</xdr:row>
      <xdr:rowOff>800100</xdr:rowOff>
    </xdr:to>
    <xdr:sp macro="" textlink="">
      <xdr:nvSpPr>
        <xdr:cNvPr id="1008" name="Имя " descr="Descr 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566</xdr:row>
      <xdr:rowOff>647700</xdr:rowOff>
    </xdr:from>
    <xdr:to>
      <xdr:col>3</xdr:col>
      <xdr:colOff>180975</xdr:colOff>
      <xdr:row>566</xdr:row>
      <xdr:rowOff>800100</xdr:rowOff>
    </xdr:to>
    <xdr:sp macro="" textlink="">
      <xdr:nvSpPr>
        <xdr:cNvPr id="1010" name="Имя " descr="Descr 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567</xdr:row>
      <xdr:rowOff>647700</xdr:rowOff>
    </xdr:from>
    <xdr:to>
      <xdr:col>3</xdr:col>
      <xdr:colOff>180975</xdr:colOff>
      <xdr:row>567</xdr:row>
      <xdr:rowOff>800100</xdr:rowOff>
    </xdr:to>
    <xdr:sp macro="" textlink="">
      <xdr:nvSpPr>
        <xdr:cNvPr id="1012" name="Имя " descr="Descr 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568</xdr:row>
      <xdr:rowOff>647700</xdr:rowOff>
    </xdr:from>
    <xdr:to>
      <xdr:col>3</xdr:col>
      <xdr:colOff>180975</xdr:colOff>
      <xdr:row>568</xdr:row>
      <xdr:rowOff>800100</xdr:rowOff>
    </xdr:to>
    <xdr:sp macro="" textlink="">
      <xdr:nvSpPr>
        <xdr:cNvPr id="1014" name="Имя " descr="Descr 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569</xdr:row>
      <xdr:rowOff>647700</xdr:rowOff>
    </xdr:from>
    <xdr:to>
      <xdr:col>3</xdr:col>
      <xdr:colOff>180975</xdr:colOff>
      <xdr:row>569</xdr:row>
      <xdr:rowOff>800100</xdr:rowOff>
    </xdr:to>
    <xdr:sp macro="" textlink="">
      <xdr:nvSpPr>
        <xdr:cNvPr id="1016" name="Имя " descr="Descr 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570</xdr:row>
      <xdr:rowOff>647700</xdr:rowOff>
    </xdr:from>
    <xdr:to>
      <xdr:col>3</xdr:col>
      <xdr:colOff>180975</xdr:colOff>
      <xdr:row>570</xdr:row>
      <xdr:rowOff>800100</xdr:rowOff>
    </xdr:to>
    <xdr:sp macro="" textlink="">
      <xdr:nvSpPr>
        <xdr:cNvPr id="1018" name="Имя " descr="Descr 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571</xdr:row>
      <xdr:rowOff>647700</xdr:rowOff>
    </xdr:from>
    <xdr:to>
      <xdr:col>3</xdr:col>
      <xdr:colOff>180975</xdr:colOff>
      <xdr:row>571</xdr:row>
      <xdr:rowOff>800100</xdr:rowOff>
    </xdr:to>
    <xdr:sp macro="" textlink="">
      <xdr:nvSpPr>
        <xdr:cNvPr id="1020" name="Имя " descr="Descr 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572</xdr:row>
      <xdr:rowOff>647700</xdr:rowOff>
    </xdr:from>
    <xdr:to>
      <xdr:col>3</xdr:col>
      <xdr:colOff>180975</xdr:colOff>
      <xdr:row>572</xdr:row>
      <xdr:rowOff>800100</xdr:rowOff>
    </xdr:to>
    <xdr:sp macro="" textlink="">
      <xdr:nvSpPr>
        <xdr:cNvPr id="1022" name="Имя " descr="Descr 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573</xdr:row>
      <xdr:rowOff>647700</xdr:rowOff>
    </xdr:from>
    <xdr:to>
      <xdr:col>3</xdr:col>
      <xdr:colOff>180975</xdr:colOff>
      <xdr:row>573</xdr:row>
      <xdr:rowOff>800100</xdr:rowOff>
    </xdr:to>
    <xdr:sp macro="" textlink="">
      <xdr:nvSpPr>
        <xdr:cNvPr id="1024" name="Имя " descr="Descr 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574</xdr:row>
      <xdr:rowOff>647700</xdr:rowOff>
    </xdr:from>
    <xdr:to>
      <xdr:col>3</xdr:col>
      <xdr:colOff>180975</xdr:colOff>
      <xdr:row>574</xdr:row>
      <xdr:rowOff>800100</xdr:rowOff>
    </xdr:to>
    <xdr:sp macro="" textlink="">
      <xdr:nvSpPr>
        <xdr:cNvPr id="1026" name="Имя " descr="Descr 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575</xdr:row>
      <xdr:rowOff>647700</xdr:rowOff>
    </xdr:from>
    <xdr:to>
      <xdr:col>3</xdr:col>
      <xdr:colOff>180975</xdr:colOff>
      <xdr:row>575</xdr:row>
      <xdr:rowOff>800100</xdr:rowOff>
    </xdr:to>
    <xdr:sp macro="" textlink="">
      <xdr:nvSpPr>
        <xdr:cNvPr id="1028" name="Имя " descr="Descr 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576</xdr:row>
      <xdr:rowOff>647700</xdr:rowOff>
    </xdr:from>
    <xdr:to>
      <xdr:col>3</xdr:col>
      <xdr:colOff>180975</xdr:colOff>
      <xdr:row>576</xdr:row>
      <xdr:rowOff>800100</xdr:rowOff>
    </xdr:to>
    <xdr:sp macro="" textlink="">
      <xdr:nvSpPr>
        <xdr:cNvPr id="1030" name="Имя " descr="Descr 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577</xdr:row>
      <xdr:rowOff>647700</xdr:rowOff>
    </xdr:from>
    <xdr:to>
      <xdr:col>3</xdr:col>
      <xdr:colOff>180975</xdr:colOff>
      <xdr:row>577</xdr:row>
      <xdr:rowOff>800100</xdr:rowOff>
    </xdr:to>
    <xdr:sp macro="" textlink="">
      <xdr:nvSpPr>
        <xdr:cNvPr id="1032" name="Имя " descr="Descr 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578</xdr:row>
      <xdr:rowOff>647700</xdr:rowOff>
    </xdr:from>
    <xdr:to>
      <xdr:col>3</xdr:col>
      <xdr:colOff>180975</xdr:colOff>
      <xdr:row>578</xdr:row>
      <xdr:rowOff>800100</xdr:rowOff>
    </xdr:to>
    <xdr:sp macro="" textlink="">
      <xdr:nvSpPr>
        <xdr:cNvPr id="1034" name="Имя " descr="Descr 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579</xdr:row>
      <xdr:rowOff>647700</xdr:rowOff>
    </xdr:from>
    <xdr:to>
      <xdr:col>3</xdr:col>
      <xdr:colOff>180975</xdr:colOff>
      <xdr:row>579</xdr:row>
      <xdr:rowOff>800100</xdr:rowOff>
    </xdr:to>
    <xdr:sp macro="" textlink="">
      <xdr:nvSpPr>
        <xdr:cNvPr id="1036" name="Имя " descr="Descr 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580</xdr:row>
      <xdr:rowOff>647700</xdr:rowOff>
    </xdr:from>
    <xdr:to>
      <xdr:col>3</xdr:col>
      <xdr:colOff>180975</xdr:colOff>
      <xdr:row>580</xdr:row>
      <xdr:rowOff>800100</xdr:rowOff>
    </xdr:to>
    <xdr:sp macro="" textlink="">
      <xdr:nvSpPr>
        <xdr:cNvPr id="1038" name="Имя " descr="Descr 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581</xdr:row>
      <xdr:rowOff>647700</xdr:rowOff>
    </xdr:from>
    <xdr:to>
      <xdr:col>3</xdr:col>
      <xdr:colOff>180975</xdr:colOff>
      <xdr:row>581</xdr:row>
      <xdr:rowOff>800100</xdr:rowOff>
    </xdr:to>
    <xdr:sp macro="" textlink="">
      <xdr:nvSpPr>
        <xdr:cNvPr id="1040" name="Имя " descr="Descr 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582</xdr:row>
      <xdr:rowOff>647700</xdr:rowOff>
    </xdr:from>
    <xdr:to>
      <xdr:col>3</xdr:col>
      <xdr:colOff>180975</xdr:colOff>
      <xdr:row>582</xdr:row>
      <xdr:rowOff>800100</xdr:rowOff>
    </xdr:to>
    <xdr:sp macro="" textlink="">
      <xdr:nvSpPr>
        <xdr:cNvPr id="1042" name="Имя " descr="Descr 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583</xdr:row>
      <xdr:rowOff>647700</xdr:rowOff>
    </xdr:from>
    <xdr:to>
      <xdr:col>3</xdr:col>
      <xdr:colOff>180975</xdr:colOff>
      <xdr:row>583</xdr:row>
      <xdr:rowOff>800100</xdr:rowOff>
    </xdr:to>
    <xdr:sp macro="" textlink="">
      <xdr:nvSpPr>
        <xdr:cNvPr id="1044" name="Имя " descr="Descr 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584</xdr:row>
      <xdr:rowOff>647700</xdr:rowOff>
    </xdr:from>
    <xdr:to>
      <xdr:col>3</xdr:col>
      <xdr:colOff>180975</xdr:colOff>
      <xdr:row>584</xdr:row>
      <xdr:rowOff>800100</xdr:rowOff>
    </xdr:to>
    <xdr:sp macro="" textlink="">
      <xdr:nvSpPr>
        <xdr:cNvPr id="1046" name="Имя " descr="Descr 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585</xdr:row>
      <xdr:rowOff>647700</xdr:rowOff>
    </xdr:from>
    <xdr:to>
      <xdr:col>3</xdr:col>
      <xdr:colOff>180975</xdr:colOff>
      <xdr:row>585</xdr:row>
      <xdr:rowOff>800100</xdr:rowOff>
    </xdr:to>
    <xdr:sp macro="" textlink="">
      <xdr:nvSpPr>
        <xdr:cNvPr id="1048" name="Имя " descr="Descr 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586</xdr:row>
      <xdr:rowOff>647700</xdr:rowOff>
    </xdr:from>
    <xdr:to>
      <xdr:col>3</xdr:col>
      <xdr:colOff>180975</xdr:colOff>
      <xdr:row>586</xdr:row>
      <xdr:rowOff>800100</xdr:rowOff>
    </xdr:to>
    <xdr:sp macro="" textlink="">
      <xdr:nvSpPr>
        <xdr:cNvPr id="1050" name="Имя " descr="Descr 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587</xdr:row>
      <xdr:rowOff>647700</xdr:rowOff>
    </xdr:from>
    <xdr:to>
      <xdr:col>3</xdr:col>
      <xdr:colOff>180975</xdr:colOff>
      <xdr:row>587</xdr:row>
      <xdr:rowOff>800100</xdr:rowOff>
    </xdr:to>
    <xdr:sp macro="" textlink="">
      <xdr:nvSpPr>
        <xdr:cNvPr id="1052" name="Имя " descr="Descr 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588</xdr:row>
      <xdr:rowOff>647700</xdr:rowOff>
    </xdr:from>
    <xdr:to>
      <xdr:col>3</xdr:col>
      <xdr:colOff>180975</xdr:colOff>
      <xdr:row>588</xdr:row>
      <xdr:rowOff>800100</xdr:rowOff>
    </xdr:to>
    <xdr:sp macro="" textlink="">
      <xdr:nvSpPr>
        <xdr:cNvPr id="1054" name="Имя " descr="Descr 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589</xdr:row>
      <xdr:rowOff>647700</xdr:rowOff>
    </xdr:from>
    <xdr:to>
      <xdr:col>3</xdr:col>
      <xdr:colOff>180975</xdr:colOff>
      <xdr:row>589</xdr:row>
      <xdr:rowOff>800100</xdr:rowOff>
    </xdr:to>
    <xdr:sp macro="" textlink="">
      <xdr:nvSpPr>
        <xdr:cNvPr id="1056" name="Имя " descr="Descr 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590</xdr:row>
      <xdr:rowOff>647700</xdr:rowOff>
    </xdr:from>
    <xdr:to>
      <xdr:col>3</xdr:col>
      <xdr:colOff>180975</xdr:colOff>
      <xdr:row>590</xdr:row>
      <xdr:rowOff>800100</xdr:rowOff>
    </xdr:to>
    <xdr:sp macro="" textlink="">
      <xdr:nvSpPr>
        <xdr:cNvPr id="1058" name="Имя " descr="Descr 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591</xdr:row>
      <xdr:rowOff>647700</xdr:rowOff>
    </xdr:from>
    <xdr:to>
      <xdr:col>3</xdr:col>
      <xdr:colOff>180975</xdr:colOff>
      <xdr:row>591</xdr:row>
      <xdr:rowOff>800100</xdr:rowOff>
    </xdr:to>
    <xdr:sp macro="" textlink="">
      <xdr:nvSpPr>
        <xdr:cNvPr id="1060" name="Имя " descr="Descr 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592</xdr:row>
      <xdr:rowOff>647700</xdr:rowOff>
    </xdr:from>
    <xdr:to>
      <xdr:col>3</xdr:col>
      <xdr:colOff>180975</xdr:colOff>
      <xdr:row>592</xdr:row>
      <xdr:rowOff>800100</xdr:rowOff>
    </xdr:to>
    <xdr:sp macro="" textlink="">
      <xdr:nvSpPr>
        <xdr:cNvPr id="1062" name="Имя " descr="Descr 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594</xdr:row>
      <xdr:rowOff>647700</xdr:rowOff>
    </xdr:from>
    <xdr:to>
      <xdr:col>3</xdr:col>
      <xdr:colOff>180975</xdr:colOff>
      <xdr:row>594</xdr:row>
      <xdr:rowOff>800100</xdr:rowOff>
    </xdr:to>
    <xdr:sp macro="" textlink="">
      <xdr:nvSpPr>
        <xdr:cNvPr id="1064" name="Имя " descr="Descr 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595</xdr:row>
      <xdr:rowOff>647700</xdr:rowOff>
    </xdr:from>
    <xdr:to>
      <xdr:col>3</xdr:col>
      <xdr:colOff>180975</xdr:colOff>
      <xdr:row>595</xdr:row>
      <xdr:rowOff>800100</xdr:rowOff>
    </xdr:to>
    <xdr:sp macro="" textlink="">
      <xdr:nvSpPr>
        <xdr:cNvPr id="1066" name="Имя " descr="Descr 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596</xdr:row>
      <xdr:rowOff>647700</xdr:rowOff>
    </xdr:from>
    <xdr:to>
      <xdr:col>3</xdr:col>
      <xdr:colOff>180975</xdr:colOff>
      <xdr:row>596</xdr:row>
      <xdr:rowOff>800100</xdr:rowOff>
    </xdr:to>
    <xdr:sp macro="" textlink="">
      <xdr:nvSpPr>
        <xdr:cNvPr id="1068" name="Имя " descr="Descr 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597</xdr:row>
      <xdr:rowOff>647700</xdr:rowOff>
    </xdr:from>
    <xdr:to>
      <xdr:col>3</xdr:col>
      <xdr:colOff>180975</xdr:colOff>
      <xdr:row>597</xdr:row>
      <xdr:rowOff>800100</xdr:rowOff>
    </xdr:to>
    <xdr:sp macro="" textlink="">
      <xdr:nvSpPr>
        <xdr:cNvPr id="1070" name="Имя " descr="Descr 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599</xdr:row>
      <xdr:rowOff>647700</xdr:rowOff>
    </xdr:from>
    <xdr:to>
      <xdr:col>3</xdr:col>
      <xdr:colOff>180975</xdr:colOff>
      <xdr:row>599</xdr:row>
      <xdr:rowOff>800100</xdr:rowOff>
    </xdr:to>
    <xdr:sp macro="" textlink="">
      <xdr:nvSpPr>
        <xdr:cNvPr id="1072" name="Имя " descr="Descr 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600</xdr:row>
      <xdr:rowOff>647700</xdr:rowOff>
    </xdr:from>
    <xdr:to>
      <xdr:col>3</xdr:col>
      <xdr:colOff>180975</xdr:colOff>
      <xdr:row>600</xdr:row>
      <xdr:rowOff>800100</xdr:rowOff>
    </xdr:to>
    <xdr:sp macro="" textlink="">
      <xdr:nvSpPr>
        <xdr:cNvPr id="1074" name="Имя " descr="Descr 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601</xdr:row>
      <xdr:rowOff>647700</xdr:rowOff>
    </xdr:from>
    <xdr:to>
      <xdr:col>3</xdr:col>
      <xdr:colOff>180975</xdr:colOff>
      <xdr:row>601</xdr:row>
      <xdr:rowOff>800100</xdr:rowOff>
    </xdr:to>
    <xdr:sp macro="" textlink="">
      <xdr:nvSpPr>
        <xdr:cNvPr id="1076" name="Имя " descr="Descr 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602</xdr:row>
      <xdr:rowOff>647700</xdr:rowOff>
    </xdr:from>
    <xdr:to>
      <xdr:col>3</xdr:col>
      <xdr:colOff>180975</xdr:colOff>
      <xdr:row>602</xdr:row>
      <xdr:rowOff>800100</xdr:rowOff>
    </xdr:to>
    <xdr:sp macro="" textlink="">
      <xdr:nvSpPr>
        <xdr:cNvPr id="1078" name="Имя " descr="Descr 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603</xdr:row>
      <xdr:rowOff>647700</xdr:rowOff>
    </xdr:from>
    <xdr:to>
      <xdr:col>3</xdr:col>
      <xdr:colOff>180975</xdr:colOff>
      <xdr:row>603</xdr:row>
      <xdr:rowOff>800100</xdr:rowOff>
    </xdr:to>
    <xdr:sp macro="" textlink="">
      <xdr:nvSpPr>
        <xdr:cNvPr id="1080" name="Имя " descr="Descr 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604</xdr:row>
      <xdr:rowOff>647700</xdr:rowOff>
    </xdr:from>
    <xdr:to>
      <xdr:col>3</xdr:col>
      <xdr:colOff>180975</xdr:colOff>
      <xdr:row>604</xdr:row>
      <xdr:rowOff>800100</xdr:rowOff>
    </xdr:to>
    <xdr:sp macro="" textlink="">
      <xdr:nvSpPr>
        <xdr:cNvPr id="1082" name="Имя " descr="Descr 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605</xdr:row>
      <xdr:rowOff>647700</xdr:rowOff>
    </xdr:from>
    <xdr:to>
      <xdr:col>3</xdr:col>
      <xdr:colOff>180975</xdr:colOff>
      <xdr:row>605</xdr:row>
      <xdr:rowOff>800100</xdr:rowOff>
    </xdr:to>
    <xdr:sp macro="" textlink="">
      <xdr:nvSpPr>
        <xdr:cNvPr id="1084" name="Имя " descr="Descr 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606</xdr:row>
      <xdr:rowOff>647700</xdr:rowOff>
    </xdr:from>
    <xdr:to>
      <xdr:col>3</xdr:col>
      <xdr:colOff>180975</xdr:colOff>
      <xdr:row>606</xdr:row>
      <xdr:rowOff>800100</xdr:rowOff>
    </xdr:to>
    <xdr:sp macro="" textlink="">
      <xdr:nvSpPr>
        <xdr:cNvPr id="1086" name="Имя " descr="Descr 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608</xdr:row>
      <xdr:rowOff>647700</xdr:rowOff>
    </xdr:from>
    <xdr:to>
      <xdr:col>3</xdr:col>
      <xdr:colOff>180975</xdr:colOff>
      <xdr:row>608</xdr:row>
      <xdr:rowOff>800100</xdr:rowOff>
    </xdr:to>
    <xdr:sp macro="" textlink="">
      <xdr:nvSpPr>
        <xdr:cNvPr id="1088" name="Имя " descr="Descr 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609</xdr:row>
      <xdr:rowOff>647700</xdr:rowOff>
    </xdr:from>
    <xdr:to>
      <xdr:col>3</xdr:col>
      <xdr:colOff>180975</xdr:colOff>
      <xdr:row>609</xdr:row>
      <xdr:rowOff>800100</xdr:rowOff>
    </xdr:to>
    <xdr:sp macro="" textlink="">
      <xdr:nvSpPr>
        <xdr:cNvPr id="1090" name="Имя " descr="Descr 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610</xdr:row>
      <xdr:rowOff>647700</xdr:rowOff>
    </xdr:from>
    <xdr:to>
      <xdr:col>3</xdr:col>
      <xdr:colOff>180975</xdr:colOff>
      <xdr:row>610</xdr:row>
      <xdr:rowOff>800100</xdr:rowOff>
    </xdr:to>
    <xdr:sp macro="" textlink="">
      <xdr:nvSpPr>
        <xdr:cNvPr id="1092" name="Имя " descr="Descr 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611</xdr:row>
      <xdr:rowOff>647700</xdr:rowOff>
    </xdr:from>
    <xdr:to>
      <xdr:col>3</xdr:col>
      <xdr:colOff>180975</xdr:colOff>
      <xdr:row>611</xdr:row>
      <xdr:rowOff>800100</xdr:rowOff>
    </xdr:to>
    <xdr:sp macro="" textlink="">
      <xdr:nvSpPr>
        <xdr:cNvPr id="1094" name="Имя " descr="Descr 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612</xdr:row>
      <xdr:rowOff>647700</xdr:rowOff>
    </xdr:from>
    <xdr:to>
      <xdr:col>3</xdr:col>
      <xdr:colOff>180975</xdr:colOff>
      <xdr:row>612</xdr:row>
      <xdr:rowOff>800100</xdr:rowOff>
    </xdr:to>
    <xdr:sp macro="" textlink="">
      <xdr:nvSpPr>
        <xdr:cNvPr id="1096" name="Имя " descr="Descr 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613</xdr:row>
      <xdr:rowOff>647700</xdr:rowOff>
    </xdr:from>
    <xdr:to>
      <xdr:col>3</xdr:col>
      <xdr:colOff>180975</xdr:colOff>
      <xdr:row>613</xdr:row>
      <xdr:rowOff>800100</xdr:rowOff>
    </xdr:to>
    <xdr:sp macro="" textlink="">
      <xdr:nvSpPr>
        <xdr:cNvPr id="1098" name="Имя " descr="Descr 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614</xdr:row>
      <xdr:rowOff>647700</xdr:rowOff>
    </xdr:from>
    <xdr:to>
      <xdr:col>3</xdr:col>
      <xdr:colOff>180975</xdr:colOff>
      <xdr:row>614</xdr:row>
      <xdr:rowOff>800100</xdr:rowOff>
    </xdr:to>
    <xdr:sp macro="" textlink="">
      <xdr:nvSpPr>
        <xdr:cNvPr id="1100" name="Имя " descr="Descr 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615</xdr:row>
      <xdr:rowOff>647700</xdr:rowOff>
    </xdr:from>
    <xdr:to>
      <xdr:col>3</xdr:col>
      <xdr:colOff>180975</xdr:colOff>
      <xdr:row>615</xdr:row>
      <xdr:rowOff>800100</xdr:rowOff>
    </xdr:to>
    <xdr:sp macro="" textlink="">
      <xdr:nvSpPr>
        <xdr:cNvPr id="1102" name="Имя " descr="Descr 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616</xdr:row>
      <xdr:rowOff>647700</xdr:rowOff>
    </xdr:from>
    <xdr:to>
      <xdr:col>3</xdr:col>
      <xdr:colOff>180975</xdr:colOff>
      <xdr:row>616</xdr:row>
      <xdr:rowOff>800100</xdr:rowOff>
    </xdr:to>
    <xdr:sp macro="" textlink="">
      <xdr:nvSpPr>
        <xdr:cNvPr id="1104" name="Имя " descr="Descr 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617</xdr:row>
      <xdr:rowOff>647700</xdr:rowOff>
    </xdr:from>
    <xdr:to>
      <xdr:col>3</xdr:col>
      <xdr:colOff>180975</xdr:colOff>
      <xdr:row>617</xdr:row>
      <xdr:rowOff>800100</xdr:rowOff>
    </xdr:to>
    <xdr:sp macro="" textlink="">
      <xdr:nvSpPr>
        <xdr:cNvPr id="1106" name="Имя " descr="Descr 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618</xdr:row>
      <xdr:rowOff>647700</xdr:rowOff>
    </xdr:from>
    <xdr:to>
      <xdr:col>3</xdr:col>
      <xdr:colOff>180975</xdr:colOff>
      <xdr:row>618</xdr:row>
      <xdr:rowOff>800100</xdr:rowOff>
    </xdr:to>
    <xdr:sp macro="" textlink="">
      <xdr:nvSpPr>
        <xdr:cNvPr id="1108" name="Имя " descr="Descr 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619</xdr:row>
      <xdr:rowOff>647700</xdr:rowOff>
    </xdr:from>
    <xdr:to>
      <xdr:col>3</xdr:col>
      <xdr:colOff>180975</xdr:colOff>
      <xdr:row>619</xdr:row>
      <xdr:rowOff>800100</xdr:rowOff>
    </xdr:to>
    <xdr:sp macro="" textlink="">
      <xdr:nvSpPr>
        <xdr:cNvPr id="1110" name="Имя " descr="Descr 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620</xdr:row>
      <xdr:rowOff>647700</xdr:rowOff>
    </xdr:from>
    <xdr:to>
      <xdr:col>3</xdr:col>
      <xdr:colOff>180975</xdr:colOff>
      <xdr:row>620</xdr:row>
      <xdr:rowOff>800100</xdr:rowOff>
    </xdr:to>
    <xdr:sp macro="" textlink="">
      <xdr:nvSpPr>
        <xdr:cNvPr id="1112" name="Имя " descr="Descr 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621</xdr:row>
      <xdr:rowOff>647700</xdr:rowOff>
    </xdr:from>
    <xdr:to>
      <xdr:col>3</xdr:col>
      <xdr:colOff>180975</xdr:colOff>
      <xdr:row>621</xdr:row>
      <xdr:rowOff>800100</xdr:rowOff>
    </xdr:to>
    <xdr:sp macro="" textlink="">
      <xdr:nvSpPr>
        <xdr:cNvPr id="1114" name="Имя " descr="Descr 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622</xdr:row>
      <xdr:rowOff>647700</xdr:rowOff>
    </xdr:from>
    <xdr:to>
      <xdr:col>3</xdr:col>
      <xdr:colOff>180975</xdr:colOff>
      <xdr:row>622</xdr:row>
      <xdr:rowOff>800100</xdr:rowOff>
    </xdr:to>
    <xdr:sp macro="" textlink="">
      <xdr:nvSpPr>
        <xdr:cNvPr id="1116" name="Имя " descr="Descr 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623</xdr:row>
      <xdr:rowOff>647700</xdr:rowOff>
    </xdr:from>
    <xdr:to>
      <xdr:col>3</xdr:col>
      <xdr:colOff>180975</xdr:colOff>
      <xdr:row>623</xdr:row>
      <xdr:rowOff>800100</xdr:rowOff>
    </xdr:to>
    <xdr:sp macro="" textlink="">
      <xdr:nvSpPr>
        <xdr:cNvPr id="1118" name="Имя " descr="Descr 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624</xdr:row>
      <xdr:rowOff>647700</xdr:rowOff>
    </xdr:from>
    <xdr:to>
      <xdr:col>3</xdr:col>
      <xdr:colOff>180975</xdr:colOff>
      <xdr:row>624</xdr:row>
      <xdr:rowOff>800100</xdr:rowOff>
    </xdr:to>
    <xdr:sp macro="" textlink="">
      <xdr:nvSpPr>
        <xdr:cNvPr id="1120" name="Имя " descr="Descr 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626</xdr:row>
      <xdr:rowOff>647700</xdr:rowOff>
    </xdr:from>
    <xdr:to>
      <xdr:col>3</xdr:col>
      <xdr:colOff>180975</xdr:colOff>
      <xdr:row>626</xdr:row>
      <xdr:rowOff>800100</xdr:rowOff>
    </xdr:to>
    <xdr:sp macro="" textlink="">
      <xdr:nvSpPr>
        <xdr:cNvPr id="1122" name="Имя " descr="Descr 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627</xdr:row>
      <xdr:rowOff>647700</xdr:rowOff>
    </xdr:from>
    <xdr:to>
      <xdr:col>3</xdr:col>
      <xdr:colOff>180975</xdr:colOff>
      <xdr:row>627</xdr:row>
      <xdr:rowOff>800100</xdr:rowOff>
    </xdr:to>
    <xdr:sp macro="" textlink="">
      <xdr:nvSpPr>
        <xdr:cNvPr id="1124" name="Имя " descr="Descr 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628</xdr:row>
      <xdr:rowOff>647700</xdr:rowOff>
    </xdr:from>
    <xdr:to>
      <xdr:col>3</xdr:col>
      <xdr:colOff>180975</xdr:colOff>
      <xdr:row>628</xdr:row>
      <xdr:rowOff>800100</xdr:rowOff>
    </xdr:to>
    <xdr:sp macro="" textlink="">
      <xdr:nvSpPr>
        <xdr:cNvPr id="1126" name="Имя " descr="Descr 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629</xdr:row>
      <xdr:rowOff>647700</xdr:rowOff>
    </xdr:from>
    <xdr:to>
      <xdr:col>3</xdr:col>
      <xdr:colOff>180975</xdr:colOff>
      <xdr:row>629</xdr:row>
      <xdr:rowOff>800100</xdr:rowOff>
    </xdr:to>
    <xdr:sp macro="" textlink="">
      <xdr:nvSpPr>
        <xdr:cNvPr id="1128" name="Имя " descr="Descr 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630</xdr:row>
      <xdr:rowOff>647700</xdr:rowOff>
    </xdr:from>
    <xdr:to>
      <xdr:col>3</xdr:col>
      <xdr:colOff>180975</xdr:colOff>
      <xdr:row>630</xdr:row>
      <xdr:rowOff>800100</xdr:rowOff>
    </xdr:to>
    <xdr:sp macro="" textlink="">
      <xdr:nvSpPr>
        <xdr:cNvPr id="1130" name="Имя " descr="Descr 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631</xdr:row>
      <xdr:rowOff>647700</xdr:rowOff>
    </xdr:from>
    <xdr:to>
      <xdr:col>3</xdr:col>
      <xdr:colOff>180975</xdr:colOff>
      <xdr:row>631</xdr:row>
      <xdr:rowOff>800100</xdr:rowOff>
    </xdr:to>
    <xdr:sp macro="" textlink="">
      <xdr:nvSpPr>
        <xdr:cNvPr id="1132" name="Имя " descr="Descr 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632</xdr:row>
      <xdr:rowOff>647700</xdr:rowOff>
    </xdr:from>
    <xdr:to>
      <xdr:col>3</xdr:col>
      <xdr:colOff>180975</xdr:colOff>
      <xdr:row>632</xdr:row>
      <xdr:rowOff>800100</xdr:rowOff>
    </xdr:to>
    <xdr:sp macro="" textlink="">
      <xdr:nvSpPr>
        <xdr:cNvPr id="1134" name="Имя " descr="Descr 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633</xdr:row>
      <xdr:rowOff>647700</xdr:rowOff>
    </xdr:from>
    <xdr:to>
      <xdr:col>3</xdr:col>
      <xdr:colOff>180975</xdr:colOff>
      <xdr:row>633</xdr:row>
      <xdr:rowOff>800100</xdr:rowOff>
    </xdr:to>
    <xdr:sp macro="" textlink="">
      <xdr:nvSpPr>
        <xdr:cNvPr id="1136" name="Имя " descr="Descr 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634</xdr:row>
      <xdr:rowOff>647700</xdr:rowOff>
    </xdr:from>
    <xdr:to>
      <xdr:col>3</xdr:col>
      <xdr:colOff>180975</xdr:colOff>
      <xdr:row>634</xdr:row>
      <xdr:rowOff>800100</xdr:rowOff>
    </xdr:to>
    <xdr:sp macro="" textlink="">
      <xdr:nvSpPr>
        <xdr:cNvPr id="1138" name="Имя " descr="Descr 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635</xdr:row>
      <xdr:rowOff>647700</xdr:rowOff>
    </xdr:from>
    <xdr:to>
      <xdr:col>3</xdr:col>
      <xdr:colOff>180975</xdr:colOff>
      <xdr:row>635</xdr:row>
      <xdr:rowOff>800100</xdr:rowOff>
    </xdr:to>
    <xdr:sp macro="" textlink="">
      <xdr:nvSpPr>
        <xdr:cNvPr id="1140" name="Имя " descr="Descr 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636</xdr:row>
      <xdr:rowOff>647700</xdr:rowOff>
    </xdr:from>
    <xdr:to>
      <xdr:col>3</xdr:col>
      <xdr:colOff>180975</xdr:colOff>
      <xdr:row>636</xdr:row>
      <xdr:rowOff>800100</xdr:rowOff>
    </xdr:to>
    <xdr:sp macro="" textlink="">
      <xdr:nvSpPr>
        <xdr:cNvPr id="1142" name="Имя " descr="Descr 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637</xdr:row>
      <xdr:rowOff>647700</xdr:rowOff>
    </xdr:from>
    <xdr:to>
      <xdr:col>3</xdr:col>
      <xdr:colOff>180975</xdr:colOff>
      <xdr:row>637</xdr:row>
      <xdr:rowOff>800100</xdr:rowOff>
    </xdr:to>
    <xdr:sp macro="" textlink="">
      <xdr:nvSpPr>
        <xdr:cNvPr id="1144" name="Имя " descr="Descr 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638</xdr:row>
      <xdr:rowOff>647700</xdr:rowOff>
    </xdr:from>
    <xdr:to>
      <xdr:col>3</xdr:col>
      <xdr:colOff>180975</xdr:colOff>
      <xdr:row>638</xdr:row>
      <xdr:rowOff>800100</xdr:rowOff>
    </xdr:to>
    <xdr:sp macro="" textlink="">
      <xdr:nvSpPr>
        <xdr:cNvPr id="1146" name="Имя " descr="Descr 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639</xdr:row>
      <xdr:rowOff>647700</xdr:rowOff>
    </xdr:from>
    <xdr:to>
      <xdr:col>3</xdr:col>
      <xdr:colOff>180975</xdr:colOff>
      <xdr:row>639</xdr:row>
      <xdr:rowOff>800100</xdr:rowOff>
    </xdr:to>
    <xdr:sp macro="" textlink="">
      <xdr:nvSpPr>
        <xdr:cNvPr id="1148" name="Имя " descr="Descr 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640</xdr:row>
      <xdr:rowOff>647700</xdr:rowOff>
    </xdr:from>
    <xdr:to>
      <xdr:col>3</xdr:col>
      <xdr:colOff>180975</xdr:colOff>
      <xdr:row>640</xdr:row>
      <xdr:rowOff>800100</xdr:rowOff>
    </xdr:to>
    <xdr:sp macro="" textlink="">
      <xdr:nvSpPr>
        <xdr:cNvPr id="1150" name="Имя " descr="Descr 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641</xdr:row>
      <xdr:rowOff>647700</xdr:rowOff>
    </xdr:from>
    <xdr:to>
      <xdr:col>3</xdr:col>
      <xdr:colOff>180975</xdr:colOff>
      <xdr:row>641</xdr:row>
      <xdr:rowOff>800100</xdr:rowOff>
    </xdr:to>
    <xdr:sp macro="" textlink="">
      <xdr:nvSpPr>
        <xdr:cNvPr id="1152" name="Имя " descr="Descr 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642</xdr:row>
      <xdr:rowOff>647700</xdr:rowOff>
    </xdr:from>
    <xdr:to>
      <xdr:col>3</xdr:col>
      <xdr:colOff>180975</xdr:colOff>
      <xdr:row>642</xdr:row>
      <xdr:rowOff>800100</xdr:rowOff>
    </xdr:to>
    <xdr:sp macro="" textlink="">
      <xdr:nvSpPr>
        <xdr:cNvPr id="1154" name="Имя " descr="Descr 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643</xdr:row>
      <xdr:rowOff>647700</xdr:rowOff>
    </xdr:from>
    <xdr:to>
      <xdr:col>3</xdr:col>
      <xdr:colOff>180975</xdr:colOff>
      <xdr:row>643</xdr:row>
      <xdr:rowOff>800100</xdr:rowOff>
    </xdr:to>
    <xdr:sp macro="" textlink="">
      <xdr:nvSpPr>
        <xdr:cNvPr id="1156" name="Имя " descr="Descr 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644</xdr:row>
      <xdr:rowOff>647700</xdr:rowOff>
    </xdr:from>
    <xdr:to>
      <xdr:col>3</xdr:col>
      <xdr:colOff>180975</xdr:colOff>
      <xdr:row>644</xdr:row>
      <xdr:rowOff>800100</xdr:rowOff>
    </xdr:to>
    <xdr:sp macro="" textlink="">
      <xdr:nvSpPr>
        <xdr:cNvPr id="1158" name="Имя " descr="Descr 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645</xdr:row>
      <xdr:rowOff>647700</xdr:rowOff>
    </xdr:from>
    <xdr:to>
      <xdr:col>3</xdr:col>
      <xdr:colOff>180975</xdr:colOff>
      <xdr:row>645</xdr:row>
      <xdr:rowOff>800100</xdr:rowOff>
    </xdr:to>
    <xdr:sp macro="" textlink="">
      <xdr:nvSpPr>
        <xdr:cNvPr id="1160" name="Имя " descr="Descr 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646</xdr:row>
      <xdr:rowOff>647700</xdr:rowOff>
    </xdr:from>
    <xdr:to>
      <xdr:col>3</xdr:col>
      <xdr:colOff>180975</xdr:colOff>
      <xdr:row>646</xdr:row>
      <xdr:rowOff>800100</xdr:rowOff>
    </xdr:to>
    <xdr:sp macro="" textlink="">
      <xdr:nvSpPr>
        <xdr:cNvPr id="1162" name="Имя " descr="Descr 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647</xdr:row>
      <xdr:rowOff>647700</xdr:rowOff>
    </xdr:from>
    <xdr:to>
      <xdr:col>3</xdr:col>
      <xdr:colOff>180975</xdr:colOff>
      <xdr:row>647</xdr:row>
      <xdr:rowOff>800100</xdr:rowOff>
    </xdr:to>
    <xdr:sp macro="" textlink="">
      <xdr:nvSpPr>
        <xdr:cNvPr id="1164" name="Имя " descr="Descr 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648</xdr:row>
      <xdr:rowOff>647700</xdr:rowOff>
    </xdr:from>
    <xdr:to>
      <xdr:col>3</xdr:col>
      <xdr:colOff>180975</xdr:colOff>
      <xdr:row>648</xdr:row>
      <xdr:rowOff>800100</xdr:rowOff>
    </xdr:to>
    <xdr:sp macro="" textlink="">
      <xdr:nvSpPr>
        <xdr:cNvPr id="1166" name="Имя " descr="Descr 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649</xdr:row>
      <xdr:rowOff>647700</xdr:rowOff>
    </xdr:from>
    <xdr:to>
      <xdr:col>3</xdr:col>
      <xdr:colOff>180975</xdr:colOff>
      <xdr:row>649</xdr:row>
      <xdr:rowOff>800100</xdr:rowOff>
    </xdr:to>
    <xdr:sp macro="" textlink="">
      <xdr:nvSpPr>
        <xdr:cNvPr id="1168" name="Имя " descr="Descr 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650</xdr:row>
      <xdr:rowOff>647700</xdr:rowOff>
    </xdr:from>
    <xdr:to>
      <xdr:col>3</xdr:col>
      <xdr:colOff>180975</xdr:colOff>
      <xdr:row>650</xdr:row>
      <xdr:rowOff>800100</xdr:rowOff>
    </xdr:to>
    <xdr:sp macro="" textlink="">
      <xdr:nvSpPr>
        <xdr:cNvPr id="1170" name="Имя " descr="Descr 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651</xdr:row>
      <xdr:rowOff>647700</xdr:rowOff>
    </xdr:from>
    <xdr:to>
      <xdr:col>3</xdr:col>
      <xdr:colOff>180975</xdr:colOff>
      <xdr:row>651</xdr:row>
      <xdr:rowOff>800100</xdr:rowOff>
    </xdr:to>
    <xdr:sp macro="" textlink="">
      <xdr:nvSpPr>
        <xdr:cNvPr id="1172" name="Имя " descr="Descr 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652</xdr:row>
      <xdr:rowOff>647700</xdr:rowOff>
    </xdr:from>
    <xdr:to>
      <xdr:col>3</xdr:col>
      <xdr:colOff>180975</xdr:colOff>
      <xdr:row>652</xdr:row>
      <xdr:rowOff>800100</xdr:rowOff>
    </xdr:to>
    <xdr:sp macro="" textlink="">
      <xdr:nvSpPr>
        <xdr:cNvPr id="1174" name="Имя " descr="Descr 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653</xdr:row>
      <xdr:rowOff>647700</xdr:rowOff>
    </xdr:from>
    <xdr:to>
      <xdr:col>3</xdr:col>
      <xdr:colOff>180975</xdr:colOff>
      <xdr:row>653</xdr:row>
      <xdr:rowOff>800100</xdr:rowOff>
    </xdr:to>
    <xdr:sp macro="" textlink="">
      <xdr:nvSpPr>
        <xdr:cNvPr id="1176" name="Имя " descr="Descr 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654</xdr:row>
      <xdr:rowOff>647700</xdr:rowOff>
    </xdr:from>
    <xdr:to>
      <xdr:col>3</xdr:col>
      <xdr:colOff>180975</xdr:colOff>
      <xdr:row>654</xdr:row>
      <xdr:rowOff>800100</xdr:rowOff>
    </xdr:to>
    <xdr:sp macro="" textlink="">
      <xdr:nvSpPr>
        <xdr:cNvPr id="1178" name="Имя " descr="Descr 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655</xdr:row>
      <xdr:rowOff>647700</xdr:rowOff>
    </xdr:from>
    <xdr:to>
      <xdr:col>3</xdr:col>
      <xdr:colOff>180975</xdr:colOff>
      <xdr:row>655</xdr:row>
      <xdr:rowOff>800100</xdr:rowOff>
    </xdr:to>
    <xdr:sp macro="" textlink="">
      <xdr:nvSpPr>
        <xdr:cNvPr id="1180" name="Имя " descr="Descr 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656</xdr:row>
      <xdr:rowOff>647700</xdr:rowOff>
    </xdr:from>
    <xdr:to>
      <xdr:col>3</xdr:col>
      <xdr:colOff>180975</xdr:colOff>
      <xdr:row>656</xdr:row>
      <xdr:rowOff>800100</xdr:rowOff>
    </xdr:to>
    <xdr:sp macro="" textlink="">
      <xdr:nvSpPr>
        <xdr:cNvPr id="1182" name="Имя " descr="Descr 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657</xdr:row>
      <xdr:rowOff>647700</xdr:rowOff>
    </xdr:from>
    <xdr:to>
      <xdr:col>3</xdr:col>
      <xdr:colOff>180975</xdr:colOff>
      <xdr:row>657</xdr:row>
      <xdr:rowOff>800100</xdr:rowOff>
    </xdr:to>
    <xdr:sp macro="" textlink="">
      <xdr:nvSpPr>
        <xdr:cNvPr id="1184" name="Имя " descr="Descr 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658</xdr:row>
      <xdr:rowOff>647700</xdr:rowOff>
    </xdr:from>
    <xdr:to>
      <xdr:col>3</xdr:col>
      <xdr:colOff>180975</xdr:colOff>
      <xdr:row>658</xdr:row>
      <xdr:rowOff>800100</xdr:rowOff>
    </xdr:to>
    <xdr:sp macro="" textlink="">
      <xdr:nvSpPr>
        <xdr:cNvPr id="1186" name="Имя " descr="Descr 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659</xdr:row>
      <xdr:rowOff>647700</xdr:rowOff>
    </xdr:from>
    <xdr:to>
      <xdr:col>3</xdr:col>
      <xdr:colOff>180975</xdr:colOff>
      <xdr:row>659</xdr:row>
      <xdr:rowOff>800100</xdr:rowOff>
    </xdr:to>
    <xdr:sp macro="" textlink="">
      <xdr:nvSpPr>
        <xdr:cNvPr id="1188" name="Имя " descr="Descr 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660</xdr:row>
      <xdr:rowOff>647700</xdr:rowOff>
    </xdr:from>
    <xdr:to>
      <xdr:col>3</xdr:col>
      <xdr:colOff>180975</xdr:colOff>
      <xdr:row>660</xdr:row>
      <xdr:rowOff>800100</xdr:rowOff>
    </xdr:to>
    <xdr:sp macro="" textlink="">
      <xdr:nvSpPr>
        <xdr:cNvPr id="1190" name="Имя " descr="Descr 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661</xdr:row>
      <xdr:rowOff>647700</xdr:rowOff>
    </xdr:from>
    <xdr:to>
      <xdr:col>3</xdr:col>
      <xdr:colOff>180975</xdr:colOff>
      <xdr:row>661</xdr:row>
      <xdr:rowOff>800100</xdr:rowOff>
    </xdr:to>
    <xdr:sp macro="" textlink="">
      <xdr:nvSpPr>
        <xdr:cNvPr id="1192" name="Имя " descr="Descr 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662</xdr:row>
      <xdr:rowOff>647700</xdr:rowOff>
    </xdr:from>
    <xdr:to>
      <xdr:col>3</xdr:col>
      <xdr:colOff>180975</xdr:colOff>
      <xdr:row>662</xdr:row>
      <xdr:rowOff>800100</xdr:rowOff>
    </xdr:to>
    <xdr:sp macro="" textlink="">
      <xdr:nvSpPr>
        <xdr:cNvPr id="1194" name="Имя " descr="Descr 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663</xdr:row>
      <xdr:rowOff>647700</xdr:rowOff>
    </xdr:from>
    <xdr:to>
      <xdr:col>3</xdr:col>
      <xdr:colOff>180975</xdr:colOff>
      <xdr:row>663</xdr:row>
      <xdr:rowOff>800100</xdr:rowOff>
    </xdr:to>
    <xdr:sp macro="" textlink="">
      <xdr:nvSpPr>
        <xdr:cNvPr id="1196" name="Имя " descr="Descr 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664</xdr:row>
      <xdr:rowOff>647700</xdr:rowOff>
    </xdr:from>
    <xdr:to>
      <xdr:col>3</xdr:col>
      <xdr:colOff>180975</xdr:colOff>
      <xdr:row>664</xdr:row>
      <xdr:rowOff>800100</xdr:rowOff>
    </xdr:to>
    <xdr:sp macro="" textlink="">
      <xdr:nvSpPr>
        <xdr:cNvPr id="1198" name="Имя " descr="Descr 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665</xdr:row>
      <xdr:rowOff>647700</xdr:rowOff>
    </xdr:from>
    <xdr:to>
      <xdr:col>3</xdr:col>
      <xdr:colOff>180975</xdr:colOff>
      <xdr:row>665</xdr:row>
      <xdr:rowOff>800100</xdr:rowOff>
    </xdr:to>
    <xdr:sp macro="" textlink="">
      <xdr:nvSpPr>
        <xdr:cNvPr id="1200" name="Имя " descr="Descr 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666</xdr:row>
      <xdr:rowOff>647700</xdr:rowOff>
    </xdr:from>
    <xdr:to>
      <xdr:col>3</xdr:col>
      <xdr:colOff>180975</xdr:colOff>
      <xdr:row>666</xdr:row>
      <xdr:rowOff>800100</xdr:rowOff>
    </xdr:to>
    <xdr:sp macro="" textlink="">
      <xdr:nvSpPr>
        <xdr:cNvPr id="1202" name="Имя " descr="Descr 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667</xdr:row>
      <xdr:rowOff>647700</xdr:rowOff>
    </xdr:from>
    <xdr:to>
      <xdr:col>3</xdr:col>
      <xdr:colOff>180975</xdr:colOff>
      <xdr:row>667</xdr:row>
      <xdr:rowOff>800100</xdr:rowOff>
    </xdr:to>
    <xdr:sp macro="" textlink="">
      <xdr:nvSpPr>
        <xdr:cNvPr id="1204" name="Имя " descr="Descr 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668</xdr:row>
      <xdr:rowOff>647700</xdr:rowOff>
    </xdr:from>
    <xdr:to>
      <xdr:col>3</xdr:col>
      <xdr:colOff>180975</xdr:colOff>
      <xdr:row>668</xdr:row>
      <xdr:rowOff>800100</xdr:rowOff>
    </xdr:to>
    <xdr:sp macro="" textlink="">
      <xdr:nvSpPr>
        <xdr:cNvPr id="1206" name="Имя " descr="Descr 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669</xdr:row>
      <xdr:rowOff>647700</xdr:rowOff>
    </xdr:from>
    <xdr:to>
      <xdr:col>3</xdr:col>
      <xdr:colOff>180975</xdr:colOff>
      <xdr:row>669</xdr:row>
      <xdr:rowOff>800100</xdr:rowOff>
    </xdr:to>
    <xdr:sp macro="" textlink="">
      <xdr:nvSpPr>
        <xdr:cNvPr id="1208" name="Имя " descr="Descr 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670</xdr:row>
      <xdr:rowOff>647700</xdr:rowOff>
    </xdr:from>
    <xdr:to>
      <xdr:col>3</xdr:col>
      <xdr:colOff>180975</xdr:colOff>
      <xdr:row>670</xdr:row>
      <xdr:rowOff>800100</xdr:rowOff>
    </xdr:to>
    <xdr:sp macro="" textlink="">
      <xdr:nvSpPr>
        <xdr:cNvPr id="1210" name="Имя " descr="Descr 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671</xdr:row>
      <xdr:rowOff>647700</xdr:rowOff>
    </xdr:from>
    <xdr:to>
      <xdr:col>3</xdr:col>
      <xdr:colOff>180975</xdr:colOff>
      <xdr:row>671</xdr:row>
      <xdr:rowOff>800100</xdr:rowOff>
    </xdr:to>
    <xdr:sp macro="" textlink="">
      <xdr:nvSpPr>
        <xdr:cNvPr id="1212" name="Имя " descr="Descr 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672</xdr:row>
      <xdr:rowOff>647700</xdr:rowOff>
    </xdr:from>
    <xdr:to>
      <xdr:col>3</xdr:col>
      <xdr:colOff>180975</xdr:colOff>
      <xdr:row>672</xdr:row>
      <xdr:rowOff>800100</xdr:rowOff>
    </xdr:to>
    <xdr:sp macro="" textlink="">
      <xdr:nvSpPr>
        <xdr:cNvPr id="1214" name="Имя " descr="Descr 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673</xdr:row>
      <xdr:rowOff>647700</xdr:rowOff>
    </xdr:from>
    <xdr:to>
      <xdr:col>3</xdr:col>
      <xdr:colOff>180975</xdr:colOff>
      <xdr:row>673</xdr:row>
      <xdr:rowOff>800100</xdr:rowOff>
    </xdr:to>
    <xdr:sp macro="" textlink="">
      <xdr:nvSpPr>
        <xdr:cNvPr id="1216" name="Имя " descr="Descr 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674</xdr:row>
      <xdr:rowOff>647700</xdr:rowOff>
    </xdr:from>
    <xdr:to>
      <xdr:col>3</xdr:col>
      <xdr:colOff>180975</xdr:colOff>
      <xdr:row>674</xdr:row>
      <xdr:rowOff>800100</xdr:rowOff>
    </xdr:to>
    <xdr:sp macro="" textlink="">
      <xdr:nvSpPr>
        <xdr:cNvPr id="1218" name="Имя " descr="Descr 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675</xdr:row>
      <xdr:rowOff>647700</xdr:rowOff>
    </xdr:from>
    <xdr:to>
      <xdr:col>3</xdr:col>
      <xdr:colOff>180975</xdr:colOff>
      <xdr:row>675</xdr:row>
      <xdr:rowOff>800100</xdr:rowOff>
    </xdr:to>
    <xdr:sp macro="" textlink="">
      <xdr:nvSpPr>
        <xdr:cNvPr id="1220" name="Имя " descr="Descr 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676</xdr:row>
      <xdr:rowOff>647700</xdr:rowOff>
    </xdr:from>
    <xdr:to>
      <xdr:col>3</xdr:col>
      <xdr:colOff>180975</xdr:colOff>
      <xdr:row>676</xdr:row>
      <xdr:rowOff>800100</xdr:rowOff>
    </xdr:to>
    <xdr:sp macro="" textlink="">
      <xdr:nvSpPr>
        <xdr:cNvPr id="1222" name="Имя " descr="Descr 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677</xdr:row>
      <xdr:rowOff>647700</xdr:rowOff>
    </xdr:from>
    <xdr:to>
      <xdr:col>3</xdr:col>
      <xdr:colOff>180975</xdr:colOff>
      <xdr:row>677</xdr:row>
      <xdr:rowOff>800100</xdr:rowOff>
    </xdr:to>
    <xdr:sp macro="" textlink="">
      <xdr:nvSpPr>
        <xdr:cNvPr id="1224" name="Имя " descr="Descr 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679</xdr:row>
      <xdr:rowOff>647700</xdr:rowOff>
    </xdr:from>
    <xdr:to>
      <xdr:col>3</xdr:col>
      <xdr:colOff>180975</xdr:colOff>
      <xdr:row>679</xdr:row>
      <xdr:rowOff>800100</xdr:rowOff>
    </xdr:to>
    <xdr:sp macro="" textlink="">
      <xdr:nvSpPr>
        <xdr:cNvPr id="1226" name="Имя " descr="Descr 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680</xdr:row>
      <xdr:rowOff>647700</xdr:rowOff>
    </xdr:from>
    <xdr:to>
      <xdr:col>3</xdr:col>
      <xdr:colOff>180975</xdr:colOff>
      <xdr:row>680</xdr:row>
      <xdr:rowOff>800100</xdr:rowOff>
    </xdr:to>
    <xdr:sp macro="" textlink="">
      <xdr:nvSpPr>
        <xdr:cNvPr id="1228" name="Имя " descr="Descr 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681</xdr:row>
      <xdr:rowOff>647700</xdr:rowOff>
    </xdr:from>
    <xdr:to>
      <xdr:col>3</xdr:col>
      <xdr:colOff>180975</xdr:colOff>
      <xdr:row>681</xdr:row>
      <xdr:rowOff>800100</xdr:rowOff>
    </xdr:to>
    <xdr:sp macro="" textlink="">
      <xdr:nvSpPr>
        <xdr:cNvPr id="1230" name="Имя " descr="Descr 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682</xdr:row>
      <xdr:rowOff>647700</xdr:rowOff>
    </xdr:from>
    <xdr:to>
      <xdr:col>3</xdr:col>
      <xdr:colOff>180975</xdr:colOff>
      <xdr:row>682</xdr:row>
      <xdr:rowOff>800100</xdr:rowOff>
    </xdr:to>
    <xdr:sp macro="" textlink="">
      <xdr:nvSpPr>
        <xdr:cNvPr id="1232" name="Имя " descr="Descr 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683</xdr:row>
      <xdr:rowOff>647700</xdr:rowOff>
    </xdr:from>
    <xdr:to>
      <xdr:col>3</xdr:col>
      <xdr:colOff>180975</xdr:colOff>
      <xdr:row>683</xdr:row>
      <xdr:rowOff>800100</xdr:rowOff>
    </xdr:to>
    <xdr:sp macro="" textlink="">
      <xdr:nvSpPr>
        <xdr:cNvPr id="1234" name="Имя " descr="Descr 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684</xdr:row>
      <xdr:rowOff>647700</xdr:rowOff>
    </xdr:from>
    <xdr:to>
      <xdr:col>3</xdr:col>
      <xdr:colOff>180975</xdr:colOff>
      <xdr:row>684</xdr:row>
      <xdr:rowOff>800100</xdr:rowOff>
    </xdr:to>
    <xdr:sp macro="" textlink="">
      <xdr:nvSpPr>
        <xdr:cNvPr id="1236" name="Имя " descr="Descr 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685</xdr:row>
      <xdr:rowOff>647700</xdr:rowOff>
    </xdr:from>
    <xdr:to>
      <xdr:col>3</xdr:col>
      <xdr:colOff>180975</xdr:colOff>
      <xdr:row>685</xdr:row>
      <xdr:rowOff>800100</xdr:rowOff>
    </xdr:to>
    <xdr:sp macro="" textlink="">
      <xdr:nvSpPr>
        <xdr:cNvPr id="1238" name="Имя " descr="Descr 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686</xdr:row>
      <xdr:rowOff>647700</xdr:rowOff>
    </xdr:from>
    <xdr:to>
      <xdr:col>3</xdr:col>
      <xdr:colOff>180975</xdr:colOff>
      <xdr:row>686</xdr:row>
      <xdr:rowOff>800100</xdr:rowOff>
    </xdr:to>
    <xdr:sp macro="" textlink="">
      <xdr:nvSpPr>
        <xdr:cNvPr id="1240" name="Имя " descr="Descr 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687</xdr:row>
      <xdr:rowOff>647700</xdr:rowOff>
    </xdr:from>
    <xdr:to>
      <xdr:col>3</xdr:col>
      <xdr:colOff>180975</xdr:colOff>
      <xdr:row>687</xdr:row>
      <xdr:rowOff>800100</xdr:rowOff>
    </xdr:to>
    <xdr:sp macro="" textlink="">
      <xdr:nvSpPr>
        <xdr:cNvPr id="1242" name="Имя " descr="Descr 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688</xdr:row>
      <xdr:rowOff>647700</xdr:rowOff>
    </xdr:from>
    <xdr:to>
      <xdr:col>3</xdr:col>
      <xdr:colOff>180975</xdr:colOff>
      <xdr:row>688</xdr:row>
      <xdr:rowOff>800100</xdr:rowOff>
    </xdr:to>
    <xdr:sp macro="" textlink="">
      <xdr:nvSpPr>
        <xdr:cNvPr id="1244" name="Имя " descr="Descr 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689</xdr:row>
      <xdr:rowOff>647700</xdr:rowOff>
    </xdr:from>
    <xdr:to>
      <xdr:col>3</xdr:col>
      <xdr:colOff>180975</xdr:colOff>
      <xdr:row>689</xdr:row>
      <xdr:rowOff>800100</xdr:rowOff>
    </xdr:to>
    <xdr:sp macro="" textlink="">
      <xdr:nvSpPr>
        <xdr:cNvPr id="1246" name="Имя " descr="Descr 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690</xdr:row>
      <xdr:rowOff>647700</xdr:rowOff>
    </xdr:from>
    <xdr:to>
      <xdr:col>3</xdr:col>
      <xdr:colOff>180975</xdr:colOff>
      <xdr:row>690</xdr:row>
      <xdr:rowOff>800100</xdr:rowOff>
    </xdr:to>
    <xdr:sp macro="" textlink="">
      <xdr:nvSpPr>
        <xdr:cNvPr id="1248" name="Имя " descr="Descr 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691</xdr:row>
      <xdr:rowOff>647700</xdr:rowOff>
    </xdr:from>
    <xdr:to>
      <xdr:col>3</xdr:col>
      <xdr:colOff>180975</xdr:colOff>
      <xdr:row>691</xdr:row>
      <xdr:rowOff>800100</xdr:rowOff>
    </xdr:to>
    <xdr:sp macro="" textlink="">
      <xdr:nvSpPr>
        <xdr:cNvPr id="1250" name="Имя " descr="Descr 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692</xdr:row>
      <xdr:rowOff>647700</xdr:rowOff>
    </xdr:from>
    <xdr:to>
      <xdr:col>3</xdr:col>
      <xdr:colOff>180975</xdr:colOff>
      <xdr:row>692</xdr:row>
      <xdr:rowOff>800100</xdr:rowOff>
    </xdr:to>
    <xdr:sp macro="" textlink="">
      <xdr:nvSpPr>
        <xdr:cNvPr id="1252" name="Имя " descr="Descr 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693</xdr:row>
      <xdr:rowOff>647700</xdr:rowOff>
    </xdr:from>
    <xdr:to>
      <xdr:col>3</xdr:col>
      <xdr:colOff>180975</xdr:colOff>
      <xdr:row>693</xdr:row>
      <xdr:rowOff>800100</xdr:rowOff>
    </xdr:to>
    <xdr:sp macro="" textlink="">
      <xdr:nvSpPr>
        <xdr:cNvPr id="1254" name="Имя " descr="Descr 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694</xdr:row>
      <xdr:rowOff>647700</xdr:rowOff>
    </xdr:from>
    <xdr:to>
      <xdr:col>3</xdr:col>
      <xdr:colOff>180975</xdr:colOff>
      <xdr:row>694</xdr:row>
      <xdr:rowOff>800100</xdr:rowOff>
    </xdr:to>
    <xdr:sp macro="" textlink="">
      <xdr:nvSpPr>
        <xdr:cNvPr id="1256" name="Имя " descr="Descr 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695</xdr:row>
      <xdr:rowOff>647700</xdr:rowOff>
    </xdr:from>
    <xdr:to>
      <xdr:col>3</xdr:col>
      <xdr:colOff>180975</xdr:colOff>
      <xdr:row>695</xdr:row>
      <xdr:rowOff>800100</xdr:rowOff>
    </xdr:to>
    <xdr:sp macro="" textlink="">
      <xdr:nvSpPr>
        <xdr:cNvPr id="1258" name="Имя " descr="Descr 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697</xdr:row>
      <xdr:rowOff>647700</xdr:rowOff>
    </xdr:from>
    <xdr:to>
      <xdr:col>3</xdr:col>
      <xdr:colOff>180975</xdr:colOff>
      <xdr:row>697</xdr:row>
      <xdr:rowOff>800100</xdr:rowOff>
    </xdr:to>
    <xdr:sp macro="" textlink="">
      <xdr:nvSpPr>
        <xdr:cNvPr id="1260" name="Имя " descr="Descr 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698</xdr:row>
      <xdr:rowOff>647700</xdr:rowOff>
    </xdr:from>
    <xdr:to>
      <xdr:col>3</xdr:col>
      <xdr:colOff>180975</xdr:colOff>
      <xdr:row>698</xdr:row>
      <xdr:rowOff>800100</xdr:rowOff>
    </xdr:to>
    <xdr:sp macro="" textlink="">
      <xdr:nvSpPr>
        <xdr:cNvPr id="1262" name="Имя " descr="Descr 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699</xdr:row>
      <xdr:rowOff>647700</xdr:rowOff>
    </xdr:from>
    <xdr:to>
      <xdr:col>3</xdr:col>
      <xdr:colOff>180975</xdr:colOff>
      <xdr:row>699</xdr:row>
      <xdr:rowOff>800100</xdr:rowOff>
    </xdr:to>
    <xdr:sp macro="" textlink="">
      <xdr:nvSpPr>
        <xdr:cNvPr id="1264" name="Имя " descr="Descr 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700</xdr:row>
      <xdr:rowOff>647700</xdr:rowOff>
    </xdr:from>
    <xdr:to>
      <xdr:col>3</xdr:col>
      <xdr:colOff>180975</xdr:colOff>
      <xdr:row>700</xdr:row>
      <xdr:rowOff>800100</xdr:rowOff>
    </xdr:to>
    <xdr:sp macro="" textlink="">
      <xdr:nvSpPr>
        <xdr:cNvPr id="1266" name="Имя " descr="Descr 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701</xdr:row>
      <xdr:rowOff>647700</xdr:rowOff>
    </xdr:from>
    <xdr:to>
      <xdr:col>3</xdr:col>
      <xdr:colOff>180975</xdr:colOff>
      <xdr:row>701</xdr:row>
      <xdr:rowOff>800100</xdr:rowOff>
    </xdr:to>
    <xdr:sp macro="" textlink="">
      <xdr:nvSpPr>
        <xdr:cNvPr id="1268" name="Имя " descr="Descr 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702</xdr:row>
      <xdr:rowOff>647700</xdr:rowOff>
    </xdr:from>
    <xdr:to>
      <xdr:col>3</xdr:col>
      <xdr:colOff>180975</xdr:colOff>
      <xdr:row>702</xdr:row>
      <xdr:rowOff>800100</xdr:rowOff>
    </xdr:to>
    <xdr:sp macro="" textlink="">
      <xdr:nvSpPr>
        <xdr:cNvPr id="1270" name="Имя " descr="Descr 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703</xdr:row>
      <xdr:rowOff>647700</xdr:rowOff>
    </xdr:from>
    <xdr:to>
      <xdr:col>3</xdr:col>
      <xdr:colOff>180975</xdr:colOff>
      <xdr:row>703</xdr:row>
      <xdr:rowOff>800100</xdr:rowOff>
    </xdr:to>
    <xdr:sp macro="" textlink="">
      <xdr:nvSpPr>
        <xdr:cNvPr id="1272" name="Имя " descr="Descr 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704</xdr:row>
      <xdr:rowOff>647700</xdr:rowOff>
    </xdr:from>
    <xdr:to>
      <xdr:col>3</xdr:col>
      <xdr:colOff>180975</xdr:colOff>
      <xdr:row>704</xdr:row>
      <xdr:rowOff>800100</xdr:rowOff>
    </xdr:to>
    <xdr:sp macro="" textlink="">
      <xdr:nvSpPr>
        <xdr:cNvPr id="1274" name="Имя " descr="Descr 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705</xdr:row>
      <xdr:rowOff>647700</xdr:rowOff>
    </xdr:from>
    <xdr:to>
      <xdr:col>3</xdr:col>
      <xdr:colOff>180975</xdr:colOff>
      <xdr:row>705</xdr:row>
      <xdr:rowOff>800100</xdr:rowOff>
    </xdr:to>
    <xdr:sp macro="" textlink="">
      <xdr:nvSpPr>
        <xdr:cNvPr id="1276" name="Имя " descr="Descr 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706</xdr:row>
      <xdr:rowOff>647700</xdr:rowOff>
    </xdr:from>
    <xdr:to>
      <xdr:col>3</xdr:col>
      <xdr:colOff>180975</xdr:colOff>
      <xdr:row>706</xdr:row>
      <xdr:rowOff>800100</xdr:rowOff>
    </xdr:to>
    <xdr:sp macro="" textlink="">
      <xdr:nvSpPr>
        <xdr:cNvPr id="1278" name="Имя " descr="Descr 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707</xdr:row>
      <xdr:rowOff>647700</xdr:rowOff>
    </xdr:from>
    <xdr:to>
      <xdr:col>3</xdr:col>
      <xdr:colOff>180975</xdr:colOff>
      <xdr:row>707</xdr:row>
      <xdr:rowOff>800100</xdr:rowOff>
    </xdr:to>
    <xdr:sp macro="" textlink="">
      <xdr:nvSpPr>
        <xdr:cNvPr id="1280" name="Имя " descr="Descr 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708</xdr:row>
      <xdr:rowOff>647700</xdr:rowOff>
    </xdr:from>
    <xdr:to>
      <xdr:col>3</xdr:col>
      <xdr:colOff>180975</xdr:colOff>
      <xdr:row>708</xdr:row>
      <xdr:rowOff>800100</xdr:rowOff>
    </xdr:to>
    <xdr:sp macro="" textlink="">
      <xdr:nvSpPr>
        <xdr:cNvPr id="1282" name="Имя " descr="Descr 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709</xdr:row>
      <xdr:rowOff>647700</xdr:rowOff>
    </xdr:from>
    <xdr:to>
      <xdr:col>3</xdr:col>
      <xdr:colOff>180975</xdr:colOff>
      <xdr:row>709</xdr:row>
      <xdr:rowOff>800100</xdr:rowOff>
    </xdr:to>
    <xdr:sp macro="" textlink="">
      <xdr:nvSpPr>
        <xdr:cNvPr id="1284" name="Имя " descr="Descr 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710</xdr:row>
      <xdr:rowOff>647700</xdr:rowOff>
    </xdr:from>
    <xdr:to>
      <xdr:col>3</xdr:col>
      <xdr:colOff>180975</xdr:colOff>
      <xdr:row>710</xdr:row>
      <xdr:rowOff>800100</xdr:rowOff>
    </xdr:to>
    <xdr:sp macro="" textlink="">
      <xdr:nvSpPr>
        <xdr:cNvPr id="1286" name="Имя " descr="Descr 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712</xdr:row>
      <xdr:rowOff>647700</xdr:rowOff>
    </xdr:from>
    <xdr:to>
      <xdr:col>3</xdr:col>
      <xdr:colOff>180975</xdr:colOff>
      <xdr:row>712</xdr:row>
      <xdr:rowOff>800100</xdr:rowOff>
    </xdr:to>
    <xdr:sp macro="" textlink="">
      <xdr:nvSpPr>
        <xdr:cNvPr id="1288" name="Имя " descr="Descr 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713</xdr:row>
      <xdr:rowOff>647700</xdr:rowOff>
    </xdr:from>
    <xdr:to>
      <xdr:col>3</xdr:col>
      <xdr:colOff>180975</xdr:colOff>
      <xdr:row>713</xdr:row>
      <xdr:rowOff>800100</xdr:rowOff>
    </xdr:to>
    <xdr:sp macro="" textlink="">
      <xdr:nvSpPr>
        <xdr:cNvPr id="1290" name="Имя " descr="Descr 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714</xdr:row>
      <xdr:rowOff>647700</xdr:rowOff>
    </xdr:from>
    <xdr:to>
      <xdr:col>3</xdr:col>
      <xdr:colOff>180975</xdr:colOff>
      <xdr:row>714</xdr:row>
      <xdr:rowOff>800100</xdr:rowOff>
    </xdr:to>
    <xdr:sp macro="" textlink="">
      <xdr:nvSpPr>
        <xdr:cNvPr id="1292" name="Имя " descr="Descr 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715</xdr:row>
      <xdr:rowOff>647700</xdr:rowOff>
    </xdr:from>
    <xdr:to>
      <xdr:col>3</xdr:col>
      <xdr:colOff>180975</xdr:colOff>
      <xdr:row>715</xdr:row>
      <xdr:rowOff>800100</xdr:rowOff>
    </xdr:to>
    <xdr:sp macro="" textlink="">
      <xdr:nvSpPr>
        <xdr:cNvPr id="1294" name="Имя " descr="Descr 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716</xdr:row>
      <xdr:rowOff>647700</xdr:rowOff>
    </xdr:from>
    <xdr:to>
      <xdr:col>3</xdr:col>
      <xdr:colOff>180975</xdr:colOff>
      <xdr:row>716</xdr:row>
      <xdr:rowOff>800100</xdr:rowOff>
    </xdr:to>
    <xdr:sp macro="" textlink="">
      <xdr:nvSpPr>
        <xdr:cNvPr id="1296" name="Имя " descr="Descr 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717</xdr:row>
      <xdr:rowOff>647700</xdr:rowOff>
    </xdr:from>
    <xdr:to>
      <xdr:col>3</xdr:col>
      <xdr:colOff>180975</xdr:colOff>
      <xdr:row>717</xdr:row>
      <xdr:rowOff>800100</xdr:rowOff>
    </xdr:to>
    <xdr:sp macro="" textlink="">
      <xdr:nvSpPr>
        <xdr:cNvPr id="1298" name="Имя " descr="Descr 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718</xdr:row>
      <xdr:rowOff>647700</xdr:rowOff>
    </xdr:from>
    <xdr:to>
      <xdr:col>3</xdr:col>
      <xdr:colOff>180975</xdr:colOff>
      <xdr:row>718</xdr:row>
      <xdr:rowOff>800100</xdr:rowOff>
    </xdr:to>
    <xdr:sp macro="" textlink="">
      <xdr:nvSpPr>
        <xdr:cNvPr id="1300" name="Имя " descr="Descr 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719</xdr:row>
      <xdr:rowOff>647700</xdr:rowOff>
    </xdr:from>
    <xdr:to>
      <xdr:col>3</xdr:col>
      <xdr:colOff>180975</xdr:colOff>
      <xdr:row>719</xdr:row>
      <xdr:rowOff>800100</xdr:rowOff>
    </xdr:to>
    <xdr:sp macro="" textlink="">
      <xdr:nvSpPr>
        <xdr:cNvPr id="1302" name="Имя " descr="Descr 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720</xdr:row>
      <xdr:rowOff>647700</xdr:rowOff>
    </xdr:from>
    <xdr:to>
      <xdr:col>3</xdr:col>
      <xdr:colOff>180975</xdr:colOff>
      <xdr:row>720</xdr:row>
      <xdr:rowOff>800100</xdr:rowOff>
    </xdr:to>
    <xdr:sp macro="" textlink="">
      <xdr:nvSpPr>
        <xdr:cNvPr id="1304" name="Имя " descr="Descr 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721</xdr:row>
      <xdr:rowOff>647700</xdr:rowOff>
    </xdr:from>
    <xdr:to>
      <xdr:col>3</xdr:col>
      <xdr:colOff>180975</xdr:colOff>
      <xdr:row>721</xdr:row>
      <xdr:rowOff>800100</xdr:rowOff>
    </xdr:to>
    <xdr:sp macro="" textlink="">
      <xdr:nvSpPr>
        <xdr:cNvPr id="1306" name="Имя " descr="Descr 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722</xdr:row>
      <xdr:rowOff>647700</xdr:rowOff>
    </xdr:from>
    <xdr:to>
      <xdr:col>3</xdr:col>
      <xdr:colOff>180975</xdr:colOff>
      <xdr:row>722</xdr:row>
      <xdr:rowOff>800100</xdr:rowOff>
    </xdr:to>
    <xdr:sp macro="" textlink="">
      <xdr:nvSpPr>
        <xdr:cNvPr id="1308" name="Имя " descr="Descr 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724</xdr:row>
      <xdr:rowOff>647700</xdr:rowOff>
    </xdr:from>
    <xdr:to>
      <xdr:col>3</xdr:col>
      <xdr:colOff>180975</xdr:colOff>
      <xdr:row>724</xdr:row>
      <xdr:rowOff>800100</xdr:rowOff>
    </xdr:to>
    <xdr:sp macro="" textlink="">
      <xdr:nvSpPr>
        <xdr:cNvPr id="1310" name="Имя " descr="Descr 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725</xdr:row>
      <xdr:rowOff>647700</xdr:rowOff>
    </xdr:from>
    <xdr:to>
      <xdr:col>3</xdr:col>
      <xdr:colOff>180975</xdr:colOff>
      <xdr:row>725</xdr:row>
      <xdr:rowOff>800100</xdr:rowOff>
    </xdr:to>
    <xdr:sp macro="" textlink="">
      <xdr:nvSpPr>
        <xdr:cNvPr id="1312" name="Имя " descr="Descr 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726</xdr:row>
      <xdr:rowOff>647700</xdr:rowOff>
    </xdr:from>
    <xdr:to>
      <xdr:col>3</xdr:col>
      <xdr:colOff>180975</xdr:colOff>
      <xdr:row>726</xdr:row>
      <xdr:rowOff>800100</xdr:rowOff>
    </xdr:to>
    <xdr:sp macro="" textlink="">
      <xdr:nvSpPr>
        <xdr:cNvPr id="1314" name="Имя " descr="Descr 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727</xdr:row>
      <xdr:rowOff>647700</xdr:rowOff>
    </xdr:from>
    <xdr:to>
      <xdr:col>3</xdr:col>
      <xdr:colOff>180975</xdr:colOff>
      <xdr:row>727</xdr:row>
      <xdr:rowOff>800100</xdr:rowOff>
    </xdr:to>
    <xdr:sp macro="" textlink="">
      <xdr:nvSpPr>
        <xdr:cNvPr id="1316" name="Имя " descr="Descr 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728</xdr:row>
      <xdr:rowOff>647700</xdr:rowOff>
    </xdr:from>
    <xdr:to>
      <xdr:col>3</xdr:col>
      <xdr:colOff>180975</xdr:colOff>
      <xdr:row>728</xdr:row>
      <xdr:rowOff>800100</xdr:rowOff>
    </xdr:to>
    <xdr:sp macro="" textlink="">
      <xdr:nvSpPr>
        <xdr:cNvPr id="1318" name="Имя " descr="Descr 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729</xdr:row>
      <xdr:rowOff>647700</xdr:rowOff>
    </xdr:from>
    <xdr:to>
      <xdr:col>3</xdr:col>
      <xdr:colOff>180975</xdr:colOff>
      <xdr:row>729</xdr:row>
      <xdr:rowOff>800100</xdr:rowOff>
    </xdr:to>
    <xdr:sp macro="" textlink="">
      <xdr:nvSpPr>
        <xdr:cNvPr id="1320" name="Имя " descr="Descr 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731</xdr:row>
      <xdr:rowOff>647700</xdr:rowOff>
    </xdr:from>
    <xdr:to>
      <xdr:col>3</xdr:col>
      <xdr:colOff>180975</xdr:colOff>
      <xdr:row>731</xdr:row>
      <xdr:rowOff>800100</xdr:rowOff>
    </xdr:to>
    <xdr:sp macro="" textlink="">
      <xdr:nvSpPr>
        <xdr:cNvPr id="1322" name="Имя " descr="Descr 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732</xdr:row>
      <xdr:rowOff>647700</xdr:rowOff>
    </xdr:from>
    <xdr:to>
      <xdr:col>3</xdr:col>
      <xdr:colOff>180975</xdr:colOff>
      <xdr:row>732</xdr:row>
      <xdr:rowOff>800100</xdr:rowOff>
    </xdr:to>
    <xdr:sp macro="" textlink="">
      <xdr:nvSpPr>
        <xdr:cNvPr id="1324" name="Имя " descr="Descr 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733</xdr:row>
      <xdr:rowOff>647700</xdr:rowOff>
    </xdr:from>
    <xdr:to>
      <xdr:col>3</xdr:col>
      <xdr:colOff>180975</xdr:colOff>
      <xdr:row>733</xdr:row>
      <xdr:rowOff>800100</xdr:rowOff>
    </xdr:to>
    <xdr:sp macro="" textlink="">
      <xdr:nvSpPr>
        <xdr:cNvPr id="1326" name="Имя " descr="Descr 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734</xdr:row>
      <xdr:rowOff>647700</xdr:rowOff>
    </xdr:from>
    <xdr:to>
      <xdr:col>3</xdr:col>
      <xdr:colOff>180975</xdr:colOff>
      <xdr:row>734</xdr:row>
      <xdr:rowOff>800100</xdr:rowOff>
    </xdr:to>
    <xdr:sp macro="" textlink="">
      <xdr:nvSpPr>
        <xdr:cNvPr id="1328" name="Имя " descr="Descr 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735</xdr:row>
      <xdr:rowOff>647700</xdr:rowOff>
    </xdr:from>
    <xdr:to>
      <xdr:col>3</xdr:col>
      <xdr:colOff>180975</xdr:colOff>
      <xdr:row>735</xdr:row>
      <xdr:rowOff>800100</xdr:rowOff>
    </xdr:to>
    <xdr:sp macro="" textlink="">
      <xdr:nvSpPr>
        <xdr:cNvPr id="1330" name="Имя " descr="Descr 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736</xdr:row>
      <xdr:rowOff>647700</xdr:rowOff>
    </xdr:from>
    <xdr:to>
      <xdr:col>3</xdr:col>
      <xdr:colOff>180975</xdr:colOff>
      <xdr:row>736</xdr:row>
      <xdr:rowOff>800100</xdr:rowOff>
    </xdr:to>
    <xdr:sp macro="" textlink="">
      <xdr:nvSpPr>
        <xdr:cNvPr id="1332" name="Имя " descr="Descr 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737</xdr:row>
      <xdr:rowOff>647700</xdr:rowOff>
    </xdr:from>
    <xdr:to>
      <xdr:col>3</xdr:col>
      <xdr:colOff>180975</xdr:colOff>
      <xdr:row>737</xdr:row>
      <xdr:rowOff>800100</xdr:rowOff>
    </xdr:to>
    <xdr:sp macro="" textlink="">
      <xdr:nvSpPr>
        <xdr:cNvPr id="1334" name="Имя " descr="Descr 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738</xdr:row>
      <xdr:rowOff>647700</xdr:rowOff>
    </xdr:from>
    <xdr:to>
      <xdr:col>3</xdr:col>
      <xdr:colOff>180975</xdr:colOff>
      <xdr:row>738</xdr:row>
      <xdr:rowOff>800100</xdr:rowOff>
    </xdr:to>
    <xdr:sp macro="" textlink="">
      <xdr:nvSpPr>
        <xdr:cNvPr id="1336" name="Имя " descr="Descr 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739</xdr:row>
      <xdr:rowOff>647700</xdr:rowOff>
    </xdr:from>
    <xdr:to>
      <xdr:col>3</xdr:col>
      <xdr:colOff>180975</xdr:colOff>
      <xdr:row>739</xdr:row>
      <xdr:rowOff>800100</xdr:rowOff>
    </xdr:to>
    <xdr:sp macro="" textlink="">
      <xdr:nvSpPr>
        <xdr:cNvPr id="1338" name="Имя " descr="Descr 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740</xdr:row>
      <xdr:rowOff>647700</xdr:rowOff>
    </xdr:from>
    <xdr:to>
      <xdr:col>3</xdr:col>
      <xdr:colOff>180975</xdr:colOff>
      <xdr:row>740</xdr:row>
      <xdr:rowOff>800100</xdr:rowOff>
    </xdr:to>
    <xdr:sp macro="" textlink="">
      <xdr:nvSpPr>
        <xdr:cNvPr id="1340" name="Имя " descr="Descr 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741</xdr:row>
      <xdr:rowOff>647700</xdr:rowOff>
    </xdr:from>
    <xdr:to>
      <xdr:col>3</xdr:col>
      <xdr:colOff>180975</xdr:colOff>
      <xdr:row>741</xdr:row>
      <xdr:rowOff>800100</xdr:rowOff>
    </xdr:to>
    <xdr:sp macro="" textlink="">
      <xdr:nvSpPr>
        <xdr:cNvPr id="1342" name="Имя " descr="Descr 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742</xdr:row>
      <xdr:rowOff>647700</xdr:rowOff>
    </xdr:from>
    <xdr:to>
      <xdr:col>3</xdr:col>
      <xdr:colOff>180975</xdr:colOff>
      <xdr:row>742</xdr:row>
      <xdr:rowOff>800100</xdr:rowOff>
    </xdr:to>
    <xdr:sp macro="" textlink="">
      <xdr:nvSpPr>
        <xdr:cNvPr id="1344" name="Имя " descr="Descr 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743</xdr:row>
      <xdr:rowOff>647700</xdr:rowOff>
    </xdr:from>
    <xdr:to>
      <xdr:col>3</xdr:col>
      <xdr:colOff>180975</xdr:colOff>
      <xdr:row>743</xdr:row>
      <xdr:rowOff>800100</xdr:rowOff>
    </xdr:to>
    <xdr:sp macro="" textlink="">
      <xdr:nvSpPr>
        <xdr:cNvPr id="1346" name="Имя " descr="Descr 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744</xdr:row>
      <xdr:rowOff>647700</xdr:rowOff>
    </xdr:from>
    <xdr:to>
      <xdr:col>3</xdr:col>
      <xdr:colOff>180975</xdr:colOff>
      <xdr:row>744</xdr:row>
      <xdr:rowOff>800100</xdr:rowOff>
    </xdr:to>
    <xdr:sp macro="" textlink="">
      <xdr:nvSpPr>
        <xdr:cNvPr id="1348" name="Имя " descr="Descr 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745</xdr:row>
      <xdr:rowOff>647700</xdr:rowOff>
    </xdr:from>
    <xdr:to>
      <xdr:col>3</xdr:col>
      <xdr:colOff>180975</xdr:colOff>
      <xdr:row>745</xdr:row>
      <xdr:rowOff>800100</xdr:rowOff>
    </xdr:to>
    <xdr:sp macro="" textlink="">
      <xdr:nvSpPr>
        <xdr:cNvPr id="1350" name="Имя " descr="Descr 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746</xdr:row>
      <xdr:rowOff>647700</xdr:rowOff>
    </xdr:from>
    <xdr:to>
      <xdr:col>3</xdr:col>
      <xdr:colOff>180975</xdr:colOff>
      <xdr:row>746</xdr:row>
      <xdr:rowOff>800100</xdr:rowOff>
    </xdr:to>
    <xdr:sp macro="" textlink="">
      <xdr:nvSpPr>
        <xdr:cNvPr id="1352" name="Имя " descr="Descr 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747</xdr:row>
      <xdr:rowOff>647700</xdr:rowOff>
    </xdr:from>
    <xdr:to>
      <xdr:col>3</xdr:col>
      <xdr:colOff>180975</xdr:colOff>
      <xdr:row>747</xdr:row>
      <xdr:rowOff>800100</xdr:rowOff>
    </xdr:to>
    <xdr:sp macro="" textlink="">
      <xdr:nvSpPr>
        <xdr:cNvPr id="1354" name="Имя " descr="Descr 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748</xdr:row>
      <xdr:rowOff>647700</xdr:rowOff>
    </xdr:from>
    <xdr:to>
      <xdr:col>3</xdr:col>
      <xdr:colOff>180975</xdr:colOff>
      <xdr:row>748</xdr:row>
      <xdr:rowOff>800100</xdr:rowOff>
    </xdr:to>
    <xdr:sp macro="" textlink="">
      <xdr:nvSpPr>
        <xdr:cNvPr id="1356" name="Имя " descr="Descr 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749</xdr:row>
      <xdr:rowOff>647700</xdr:rowOff>
    </xdr:from>
    <xdr:to>
      <xdr:col>3</xdr:col>
      <xdr:colOff>180975</xdr:colOff>
      <xdr:row>749</xdr:row>
      <xdr:rowOff>800100</xdr:rowOff>
    </xdr:to>
    <xdr:sp macro="" textlink="">
      <xdr:nvSpPr>
        <xdr:cNvPr id="1358" name="Имя " descr="Descr 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750</xdr:row>
      <xdr:rowOff>647700</xdr:rowOff>
    </xdr:from>
    <xdr:to>
      <xdr:col>3</xdr:col>
      <xdr:colOff>180975</xdr:colOff>
      <xdr:row>750</xdr:row>
      <xdr:rowOff>800100</xdr:rowOff>
    </xdr:to>
    <xdr:sp macro="" textlink="">
      <xdr:nvSpPr>
        <xdr:cNvPr id="1360" name="Имя " descr="Descr 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751</xdr:row>
      <xdr:rowOff>647700</xdr:rowOff>
    </xdr:from>
    <xdr:to>
      <xdr:col>3</xdr:col>
      <xdr:colOff>180975</xdr:colOff>
      <xdr:row>751</xdr:row>
      <xdr:rowOff>800100</xdr:rowOff>
    </xdr:to>
    <xdr:sp macro="" textlink="">
      <xdr:nvSpPr>
        <xdr:cNvPr id="1362" name="Имя " descr="Descr 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752</xdr:row>
      <xdr:rowOff>647700</xdr:rowOff>
    </xdr:from>
    <xdr:to>
      <xdr:col>3</xdr:col>
      <xdr:colOff>180975</xdr:colOff>
      <xdr:row>752</xdr:row>
      <xdr:rowOff>800100</xdr:rowOff>
    </xdr:to>
    <xdr:sp macro="" textlink="">
      <xdr:nvSpPr>
        <xdr:cNvPr id="1364" name="Имя " descr="Descr 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753</xdr:row>
      <xdr:rowOff>647700</xdr:rowOff>
    </xdr:from>
    <xdr:to>
      <xdr:col>3</xdr:col>
      <xdr:colOff>180975</xdr:colOff>
      <xdr:row>753</xdr:row>
      <xdr:rowOff>800100</xdr:rowOff>
    </xdr:to>
    <xdr:sp macro="" textlink="">
      <xdr:nvSpPr>
        <xdr:cNvPr id="1366" name="Имя " descr="Descr 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754</xdr:row>
      <xdr:rowOff>647700</xdr:rowOff>
    </xdr:from>
    <xdr:to>
      <xdr:col>3</xdr:col>
      <xdr:colOff>180975</xdr:colOff>
      <xdr:row>754</xdr:row>
      <xdr:rowOff>800100</xdr:rowOff>
    </xdr:to>
    <xdr:sp macro="" textlink="">
      <xdr:nvSpPr>
        <xdr:cNvPr id="1368" name="Имя " descr="Descr 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755</xdr:row>
      <xdr:rowOff>647700</xdr:rowOff>
    </xdr:from>
    <xdr:to>
      <xdr:col>3</xdr:col>
      <xdr:colOff>180975</xdr:colOff>
      <xdr:row>755</xdr:row>
      <xdr:rowOff>800100</xdr:rowOff>
    </xdr:to>
    <xdr:sp macro="" textlink="">
      <xdr:nvSpPr>
        <xdr:cNvPr id="1370" name="Имя " descr="Descr 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756</xdr:row>
      <xdr:rowOff>647700</xdr:rowOff>
    </xdr:from>
    <xdr:to>
      <xdr:col>3</xdr:col>
      <xdr:colOff>180975</xdr:colOff>
      <xdr:row>756</xdr:row>
      <xdr:rowOff>800100</xdr:rowOff>
    </xdr:to>
    <xdr:sp macro="" textlink="">
      <xdr:nvSpPr>
        <xdr:cNvPr id="1372" name="Имя " descr="Descr 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757</xdr:row>
      <xdr:rowOff>647700</xdr:rowOff>
    </xdr:from>
    <xdr:to>
      <xdr:col>3</xdr:col>
      <xdr:colOff>180975</xdr:colOff>
      <xdr:row>757</xdr:row>
      <xdr:rowOff>800100</xdr:rowOff>
    </xdr:to>
    <xdr:sp macro="" textlink="">
      <xdr:nvSpPr>
        <xdr:cNvPr id="1374" name="Имя " descr="Descr 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758</xdr:row>
      <xdr:rowOff>647700</xdr:rowOff>
    </xdr:from>
    <xdr:to>
      <xdr:col>3</xdr:col>
      <xdr:colOff>180975</xdr:colOff>
      <xdr:row>758</xdr:row>
      <xdr:rowOff>800100</xdr:rowOff>
    </xdr:to>
    <xdr:sp macro="" textlink="">
      <xdr:nvSpPr>
        <xdr:cNvPr id="1376" name="Имя " descr="Descr 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759</xdr:row>
      <xdr:rowOff>647700</xdr:rowOff>
    </xdr:from>
    <xdr:to>
      <xdr:col>3</xdr:col>
      <xdr:colOff>180975</xdr:colOff>
      <xdr:row>759</xdr:row>
      <xdr:rowOff>800100</xdr:rowOff>
    </xdr:to>
    <xdr:sp macro="" textlink="">
      <xdr:nvSpPr>
        <xdr:cNvPr id="1378" name="Имя " descr="Descr 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760</xdr:row>
      <xdr:rowOff>647700</xdr:rowOff>
    </xdr:from>
    <xdr:to>
      <xdr:col>3</xdr:col>
      <xdr:colOff>180975</xdr:colOff>
      <xdr:row>760</xdr:row>
      <xdr:rowOff>800100</xdr:rowOff>
    </xdr:to>
    <xdr:sp macro="" textlink="">
      <xdr:nvSpPr>
        <xdr:cNvPr id="1380" name="Имя " descr="Descr 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761</xdr:row>
      <xdr:rowOff>647700</xdr:rowOff>
    </xdr:from>
    <xdr:to>
      <xdr:col>3</xdr:col>
      <xdr:colOff>180975</xdr:colOff>
      <xdr:row>761</xdr:row>
      <xdr:rowOff>800100</xdr:rowOff>
    </xdr:to>
    <xdr:sp macro="" textlink="">
      <xdr:nvSpPr>
        <xdr:cNvPr id="1382" name="Имя " descr="Descr 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762</xdr:row>
      <xdr:rowOff>647700</xdr:rowOff>
    </xdr:from>
    <xdr:to>
      <xdr:col>3</xdr:col>
      <xdr:colOff>180975</xdr:colOff>
      <xdr:row>762</xdr:row>
      <xdr:rowOff>800100</xdr:rowOff>
    </xdr:to>
    <xdr:sp macro="" textlink="">
      <xdr:nvSpPr>
        <xdr:cNvPr id="1384" name="Имя " descr="Descr 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763</xdr:row>
      <xdr:rowOff>647700</xdr:rowOff>
    </xdr:from>
    <xdr:to>
      <xdr:col>3</xdr:col>
      <xdr:colOff>180975</xdr:colOff>
      <xdr:row>763</xdr:row>
      <xdr:rowOff>800100</xdr:rowOff>
    </xdr:to>
    <xdr:sp macro="" textlink="">
      <xdr:nvSpPr>
        <xdr:cNvPr id="1386" name="Имя " descr="Descr 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764</xdr:row>
      <xdr:rowOff>647700</xdr:rowOff>
    </xdr:from>
    <xdr:to>
      <xdr:col>3</xdr:col>
      <xdr:colOff>180975</xdr:colOff>
      <xdr:row>764</xdr:row>
      <xdr:rowOff>800100</xdr:rowOff>
    </xdr:to>
    <xdr:sp macro="" textlink="">
      <xdr:nvSpPr>
        <xdr:cNvPr id="1388" name="Имя " descr="Descr 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765</xdr:row>
      <xdr:rowOff>647700</xdr:rowOff>
    </xdr:from>
    <xdr:to>
      <xdr:col>3</xdr:col>
      <xdr:colOff>180975</xdr:colOff>
      <xdr:row>765</xdr:row>
      <xdr:rowOff>800100</xdr:rowOff>
    </xdr:to>
    <xdr:sp macro="" textlink="">
      <xdr:nvSpPr>
        <xdr:cNvPr id="1390" name="Имя " descr="Descr 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766</xdr:row>
      <xdr:rowOff>647700</xdr:rowOff>
    </xdr:from>
    <xdr:to>
      <xdr:col>3</xdr:col>
      <xdr:colOff>180975</xdr:colOff>
      <xdr:row>766</xdr:row>
      <xdr:rowOff>800100</xdr:rowOff>
    </xdr:to>
    <xdr:sp macro="" textlink="">
      <xdr:nvSpPr>
        <xdr:cNvPr id="1392" name="Имя " descr="Descr 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767</xdr:row>
      <xdr:rowOff>647700</xdr:rowOff>
    </xdr:from>
    <xdr:to>
      <xdr:col>3</xdr:col>
      <xdr:colOff>180975</xdr:colOff>
      <xdr:row>767</xdr:row>
      <xdr:rowOff>800100</xdr:rowOff>
    </xdr:to>
    <xdr:sp macro="" textlink="">
      <xdr:nvSpPr>
        <xdr:cNvPr id="1394" name="Имя " descr="Descr 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768</xdr:row>
      <xdr:rowOff>647700</xdr:rowOff>
    </xdr:from>
    <xdr:to>
      <xdr:col>3</xdr:col>
      <xdr:colOff>180975</xdr:colOff>
      <xdr:row>768</xdr:row>
      <xdr:rowOff>800100</xdr:rowOff>
    </xdr:to>
    <xdr:sp macro="" textlink="">
      <xdr:nvSpPr>
        <xdr:cNvPr id="1396" name="Имя " descr="Descr 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769</xdr:row>
      <xdr:rowOff>647700</xdr:rowOff>
    </xdr:from>
    <xdr:to>
      <xdr:col>3</xdr:col>
      <xdr:colOff>180975</xdr:colOff>
      <xdr:row>769</xdr:row>
      <xdr:rowOff>800100</xdr:rowOff>
    </xdr:to>
    <xdr:sp macro="" textlink="">
      <xdr:nvSpPr>
        <xdr:cNvPr id="1398" name="Имя " descr="Descr 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770</xdr:row>
      <xdr:rowOff>647700</xdr:rowOff>
    </xdr:from>
    <xdr:to>
      <xdr:col>3</xdr:col>
      <xdr:colOff>180975</xdr:colOff>
      <xdr:row>770</xdr:row>
      <xdr:rowOff>800100</xdr:rowOff>
    </xdr:to>
    <xdr:sp macro="" textlink="">
      <xdr:nvSpPr>
        <xdr:cNvPr id="1400" name="Имя " descr="Descr 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772</xdr:row>
      <xdr:rowOff>647700</xdr:rowOff>
    </xdr:from>
    <xdr:to>
      <xdr:col>3</xdr:col>
      <xdr:colOff>180975</xdr:colOff>
      <xdr:row>772</xdr:row>
      <xdr:rowOff>800100</xdr:rowOff>
    </xdr:to>
    <xdr:sp macro="" textlink="">
      <xdr:nvSpPr>
        <xdr:cNvPr id="1402" name="Имя " descr="Descr 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773</xdr:row>
      <xdr:rowOff>647700</xdr:rowOff>
    </xdr:from>
    <xdr:to>
      <xdr:col>3</xdr:col>
      <xdr:colOff>180975</xdr:colOff>
      <xdr:row>773</xdr:row>
      <xdr:rowOff>800100</xdr:rowOff>
    </xdr:to>
    <xdr:sp macro="" textlink="">
      <xdr:nvSpPr>
        <xdr:cNvPr id="1404" name="Имя " descr="Descr 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774</xdr:row>
      <xdr:rowOff>647700</xdr:rowOff>
    </xdr:from>
    <xdr:to>
      <xdr:col>3</xdr:col>
      <xdr:colOff>180975</xdr:colOff>
      <xdr:row>774</xdr:row>
      <xdr:rowOff>800100</xdr:rowOff>
    </xdr:to>
    <xdr:sp macro="" textlink="">
      <xdr:nvSpPr>
        <xdr:cNvPr id="1406" name="Имя " descr="Descr 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775</xdr:row>
      <xdr:rowOff>647700</xdr:rowOff>
    </xdr:from>
    <xdr:to>
      <xdr:col>3</xdr:col>
      <xdr:colOff>180975</xdr:colOff>
      <xdr:row>775</xdr:row>
      <xdr:rowOff>800100</xdr:rowOff>
    </xdr:to>
    <xdr:sp macro="" textlink="">
      <xdr:nvSpPr>
        <xdr:cNvPr id="1408" name="Имя " descr="Descr 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776</xdr:row>
      <xdr:rowOff>647700</xdr:rowOff>
    </xdr:from>
    <xdr:to>
      <xdr:col>3</xdr:col>
      <xdr:colOff>180975</xdr:colOff>
      <xdr:row>776</xdr:row>
      <xdr:rowOff>800100</xdr:rowOff>
    </xdr:to>
    <xdr:sp macro="" textlink="">
      <xdr:nvSpPr>
        <xdr:cNvPr id="1410" name="Имя " descr="Descr 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777</xdr:row>
      <xdr:rowOff>647700</xdr:rowOff>
    </xdr:from>
    <xdr:to>
      <xdr:col>3</xdr:col>
      <xdr:colOff>180975</xdr:colOff>
      <xdr:row>777</xdr:row>
      <xdr:rowOff>800100</xdr:rowOff>
    </xdr:to>
    <xdr:sp macro="" textlink="">
      <xdr:nvSpPr>
        <xdr:cNvPr id="1412" name="Имя " descr="Descr 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778</xdr:row>
      <xdr:rowOff>647700</xdr:rowOff>
    </xdr:from>
    <xdr:to>
      <xdr:col>3</xdr:col>
      <xdr:colOff>180975</xdr:colOff>
      <xdr:row>778</xdr:row>
      <xdr:rowOff>800100</xdr:rowOff>
    </xdr:to>
    <xdr:sp macro="" textlink="">
      <xdr:nvSpPr>
        <xdr:cNvPr id="1414" name="Имя " descr="Descr 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779</xdr:row>
      <xdr:rowOff>647700</xdr:rowOff>
    </xdr:from>
    <xdr:to>
      <xdr:col>3</xdr:col>
      <xdr:colOff>180975</xdr:colOff>
      <xdr:row>779</xdr:row>
      <xdr:rowOff>800100</xdr:rowOff>
    </xdr:to>
    <xdr:sp macro="" textlink="">
      <xdr:nvSpPr>
        <xdr:cNvPr id="1416" name="Имя " descr="Descr 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780</xdr:row>
      <xdr:rowOff>647700</xdr:rowOff>
    </xdr:from>
    <xdr:to>
      <xdr:col>3</xdr:col>
      <xdr:colOff>180975</xdr:colOff>
      <xdr:row>780</xdr:row>
      <xdr:rowOff>800100</xdr:rowOff>
    </xdr:to>
    <xdr:sp macro="" textlink="">
      <xdr:nvSpPr>
        <xdr:cNvPr id="1418" name="Имя " descr="Descr 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781</xdr:row>
      <xdr:rowOff>647700</xdr:rowOff>
    </xdr:from>
    <xdr:to>
      <xdr:col>3</xdr:col>
      <xdr:colOff>180975</xdr:colOff>
      <xdr:row>781</xdr:row>
      <xdr:rowOff>800100</xdr:rowOff>
    </xdr:to>
    <xdr:sp macro="" textlink="">
      <xdr:nvSpPr>
        <xdr:cNvPr id="1420" name="Имя " descr="Descr 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782</xdr:row>
      <xdr:rowOff>647700</xdr:rowOff>
    </xdr:from>
    <xdr:to>
      <xdr:col>3</xdr:col>
      <xdr:colOff>180975</xdr:colOff>
      <xdr:row>782</xdr:row>
      <xdr:rowOff>800100</xdr:rowOff>
    </xdr:to>
    <xdr:sp macro="" textlink="">
      <xdr:nvSpPr>
        <xdr:cNvPr id="1422" name="Имя " descr="Descr 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783</xdr:row>
      <xdr:rowOff>647700</xdr:rowOff>
    </xdr:from>
    <xdr:to>
      <xdr:col>3</xdr:col>
      <xdr:colOff>180975</xdr:colOff>
      <xdr:row>783</xdr:row>
      <xdr:rowOff>800100</xdr:rowOff>
    </xdr:to>
    <xdr:sp macro="" textlink="">
      <xdr:nvSpPr>
        <xdr:cNvPr id="1424" name="Имя " descr="Descr 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784</xdr:row>
      <xdr:rowOff>647700</xdr:rowOff>
    </xdr:from>
    <xdr:to>
      <xdr:col>3</xdr:col>
      <xdr:colOff>180975</xdr:colOff>
      <xdr:row>784</xdr:row>
      <xdr:rowOff>800100</xdr:rowOff>
    </xdr:to>
    <xdr:sp macro="" textlink="">
      <xdr:nvSpPr>
        <xdr:cNvPr id="1426" name="Имя " descr="Descr 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786</xdr:row>
      <xdr:rowOff>647700</xdr:rowOff>
    </xdr:from>
    <xdr:to>
      <xdr:col>3</xdr:col>
      <xdr:colOff>180975</xdr:colOff>
      <xdr:row>786</xdr:row>
      <xdr:rowOff>800100</xdr:rowOff>
    </xdr:to>
    <xdr:sp macro="" textlink="">
      <xdr:nvSpPr>
        <xdr:cNvPr id="1428" name="Имя " descr="Descr 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787</xdr:row>
      <xdr:rowOff>647700</xdr:rowOff>
    </xdr:from>
    <xdr:to>
      <xdr:col>3</xdr:col>
      <xdr:colOff>180975</xdr:colOff>
      <xdr:row>787</xdr:row>
      <xdr:rowOff>800100</xdr:rowOff>
    </xdr:to>
    <xdr:sp macro="" textlink="">
      <xdr:nvSpPr>
        <xdr:cNvPr id="1430" name="Имя " descr="Descr 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788</xdr:row>
      <xdr:rowOff>647700</xdr:rowOff>
    </xdr:from>
    <xdr:to>
      <xdr:col>3</xdr:col>
      <xdr:colOff>180975</xdr:colOff>
      <xdr:row>788</xdr:row>
      <xdr:rowOff>800100</xdr:rowOff>
    </xdr:to>
    <xdr:sp macro="" textlink="">
      <xdr:nvSpPr>
        <xdr:cNvPr id="1432" name="Имя " descr="Descr 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789</xdr:row>
      <xdr:rowOff>647700</xdr:rowOff>
    </xdr:from>
    <xdr:to>
      <xdr:col>3</xdr:col>
      <xdr:colOff>180975</xdr:colOff>
      <xdr:row>789</xdr:row>
      <xdr:rowOff>800100</xdr:rowOff>
    </xdr:to>
    <xdr:sp macro="" textlink="">
      <xdr:nvSpPr>
        <xdr:cNvPr id="1434" name="Имя " descr="Descr 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790</xdr:row>
      <xdr:rowOff>647700</xdr:rowOff>
    </xdr:from>
    <xdr:to>
      <xdr:col>3</xdr:col>
      <xdr:colOff>180975</xdr:colOff>
      <xdr:row>790</xdr:row>
      <xdr:rowOff>800100</xdr:rowOff>
    </xdr:to>
    <xdr:sp macro="" textlink="">
      <xdr:nvSpPr>
        <xdr:cNvPr id="1436" name="Имя " descr="Descr 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791</xdr:row>
      <xdr:rowOff>647700</xdr:rowOff>
    </xdr:from>
    <xdr:to>
      <xdr:col>3</xdr:col>
      <xdr:colOff>180975</xdr:colOff>
      <xdr:row>791</xdr:row>
      <xdr:rowOff>800100</xdr:rowOff>
    </xdr:to>
    <xdr:sp macro="" textlink="">
      <xdr:nvSpPr>
        <xdr:cNvPr id="1438" name="Имя " descr="Descr 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792</xdr:row>
      <xdr:rowOff>647700</xdr:rowOff>
    </xdr:from>
    <xdr:to>
      <xdr:col>3</xdr:col>
      <xdr:colOff>180975</xdr:colOff>
      <xdr:row>792</xdr:row>
      <xdr:rowOff>800100</xdr:rowOff>
    </xdr:to>
    <xdr:sp macro="" textlink="">
      <xdr:nvSpPr>
        <xdr:cNvPr id="1440" name="Имя " descr="Descr 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793</xdr:row>
      <xdr:rowOff>647700</xdr:rowOff>
    </xdr:from>
    <xdr:to>
      <xdr:col>3</xdr:col>
      <xdr:colOff>180975</xdr:colOff>
      <xdr:row>793</xdr:row>
      <xdr:rowOff>800100</xdr:rowOff>
    </xdr:to>
    <xdr:sp macro="" textlink="">
      <xdr:nvSpPr>
        <xdr:cNvPr id="1442" name="Имя " descr="Descr 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794</xdr:row>
      <xdr:rowOff>647700</xdr:rowOff>
    </xdr:from>
    <xdr:to>
      <xdr:col>3</xdr:col>
      <xdr:colOff>180975</xdr:colOff>
      <xdr:row>794</xdr:row>
      <xdr:rowOff>800100</xdr:rowOff>
    </xdr:to>
    <xdr:sp macro="" textlink="">
      <xdr:nvSpPr>
        <xdr:cNvPr id="1444" name="Имя " descr="Descr 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795</xdr:row>
      <xdr:rowOff>647700</xdr:rowOff>
    </xdr:from>
    <xdr:to>
      <xdr:col>3</xdr:col>
      <xdr:colOff>180975</xdr:colOff>
      <xdr:row>795</xdr:row>
      <xdr:rowOff>800100</xdr:rowOff>
    </xdr:to>
    <xdr:sp macro="" textlink="">
      <xdr:nvSpPr>
        <xdr:cNvPr id="1446" name="Имя " descr="Descr 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796</xdr:row>
      <xdr:rowOff>647700</xdr:rowOff>
    </xdr:from>
    <xdr:to>
      <xdr:col>3</xdr:col>
      <xdr:colOff>180975</xdr:colOff>
      <xdr:row>796</xdr:row>
      <xdr:rowOff>800100</xdr:rowOff>
    </xdr:to>
    <xdr:sp macro="" textlink="">
      <xdr:nvSpPr>
        <xdr:cNvPr id="1448" name="Имя " descr="Descr 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797</xdr:row>
      <xdr:rowOff>647700</xdr:rowOff>
    </xdr:from>
    <xdr:to>
      <xdr:col>3</xdr:col>
      <xdr:colOff>180975</xdr:colOff>
      <xdr:row>797</xdr:row>
      <xdr:rowOff>800100</xdr:rowOff>
    </xdr:to>
    <xdr:sp macro="" textlink="">
      <xdr:nvSpPr>
        <xdr:cNvPr id="1450" name="Имя " descr="Descr 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798</xdr:row>
      <xdr:rowOff>647700</xdr:rowOff>
    </xdr:from>
    <xdr:to>
      <xdr:col>3</xdr:col>
      <xdr:colOff>180975</xdr:colOff>
      <xdr:row>798</xdr:row>
      <xdr:rowOff>800100</xdr:rowOff>
    </xdr:to>
    <xdr:sp macro="" textlink="">
      <xdr:nvSpPr>
        <xdr:cNvPr id="1452" name="Имя " descr="Descr 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799</xdr:row>
      <xdr:rowOff>647700</xdr:rowOff>
    </xdr:from>
    <xdr:to>
      <xdr:col>3</xdr:col>
      <xdr:colOff>180975</xdr:colOff>
      <xdr:row>799</xdr:row>
      <xdr:rowOff>800100</xdr:rowOff>
    </xdr:to>
    <xdr:sp macro="" textlink="">
      <xdr:nvSpPr>
        <xdr:cNvPr id="1454" name="Имя " descr="Descr 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800</xdr:row>
      <xdr:rowOff>647700</xdr:rowOff>
    </xdr:from>
    <xdr:to>
      <xdr:col>3</xdr:col>
      <xdr:colOff>180975</xdr:colOff>
      <xdr:row>800</xdr:row>
      <xdr:rowOff>800100</xdr:rowOff>
    </xdr:to>
    <xdr:sp macro="" textlink="">
      <xdr:nvSpPr>
        <xdr:cNvPr id="1456" name="Имя " descr="Descr 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801</xdr:row>
      <xdr:rowOff>647700</xdr:rowOff>
    </xdr:from>
    <xdr:to>
      <xdr:col>3</xdr:col>
      <xdr:colOff>180975</xdr:colOff>
      <xdr:row>801</xdr:row>
      <xdr:rowOff>800100</xdr:rowOff>
    </xdr:to>
    <xdr:sp macro="" textlink="">
      <xdr:nvSpPr>
        <xdr:cNvPr id="1458" name="Имя " descr="Descr 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802</xdr:row>
      <xdr:rowOff>647700</xdr:rowOff>
    </xdr:from>
    <xdr:to>
      <xdr:col>3</xdr:col>
      <xdr:colOff>180975</xdr:colOff>
      <xdr:row>802</xdr:row>
      <xdr:rowOff>800100</xdr:rowOff>
    </xdr:to>
    <xdr:sp macro="" textlink="">
      <xdr:nvSpPr>
        <xdr:cNvPr id="1460" name="Имя " descr="Descr 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803</xdr:row>
      <xdr:rowOff>647700</xdr:rowOff>
    </xdr:from>
    <xdr:to>
      <xdr:col>3</xdr:col>
      <xdr:colOff>180975</xdr:colOff>
      <xdr:row>803</xdr:row>
      <xdr:rowOff>800100</xdr:rowOff>
    </xdr:to>
    <xdr:sp macro="" textlink="">
      <xdr:nvSpPr>
        <xdr:cNvPr id="1462" name="Имя " descr="Descr 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804</xdr:row>
      <xdr:rowOff>647700</xdr:rowOff>
    </xdr:from>
    <xdr:to>
      <xdr:col>3</xdr:col>
      <xdr:colOff>180975</xdr:colOff>
      <xdr:row>804</xdr:row>
      <xdr:rowOff>800100</xdr:rowOff>
    </xdr:to>
    <xdr:sp macro="" textlink="">
      <xdr:nvSpPr>
        <xdr:cNvPr id="1464" name="Имя " descr="Descr 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805</xdr:row>
      <xdr:rowOff>647700</xdr:rowOff>
    </xdr:from>
    <xdr:to>
      <xdr:col>3</xdr:col>
      <xdr:colOff>180975</xdr:colOff>
      <xdr:row>805</xdr:row>
      <xdr:rowOff>800100</xdr:rowOff>
    </xdr:to>
    <xdr:sp macro="" textlink="">
      <xdr:nvSpPr>
        <xdr:cNvPr id="1466" name="Имя " descr="Descr 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806</xdr:row>
      <xdr:rowOff>647700</xdr:rowOff>
    </xdr:from>
    <xdr:to>
      <xdr:col>3</xdr:col>
      <xdr:colOff>180975</xdr:colOff>
      <xdr:row>806</xdr:row>
      <xdr:rowOff>800100</xdr:rowOff>
    </xdr:to>
    <xdr:sp macro="" textlink="">
      <xdr:nvSpPr>
        <xdr:cNvPr id="1468" name="Имя " descr="Descr 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808</xdr:row>
      <xdr:rowOff>647700</xdr:rowOff>
    </xdr:from>
    <xdr:to>
      <xdr:col>3</xdr:col>
      <xdr:colOff>180975</xdr:colOff>
      <xdr:row>808</xdr:row>
      <xdr:rowOff>800100</xdr:rowOff>
    </xdr:to>
    <xdr:sp macro="" textlink="">
      <xdr:nvSpPr>
        <xdr:cNvPr id="1470" name="Имя " descr="Descr 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809</xdr:row>
      <xdr:rowOff>647700</xdr:rowOff>
    </xdr:from>
    <xdr:to>
      <xdr:col>3</xdr:col>
      <xdr:colOff>180975</xdr:colOff>
      <xdr:row>809</xdr:row>
      <xdr:rowOff>800100</xdr:rowOff>
    </xdr:to>
    <xdr:sp macro="" textlink="">
      <xdr:nvSpPr>
        <xdr:cNvPr id="1472" name="Имя " descr="Descr 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810</xdr:row>
      <xdr:rowOff>647700</xdr:rowOff>
    </xdr:from>
    <xdr:to>
      <xdr:col>3</xdr:col>
      <xdr:colOff>180975</xdr:colOff>
      <xdr:row>810</xdr:row>
      <xdr:rowOff>800100</xdr:rowOff>
    </xdr:to>
    <xdr:sp macro="" textlink="">
      <xdr:nvSpPr>
        <xdr:cNvPr id="1474" name="Имя " descr="Descr 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811</xdr:row>
      <xdr:rowOff>647700</xdr:rowOff>
    </xdr:from>
    <xdr:to>
      <xdr:col>3</xdr:col>
      <xdr:colOff>180975</xdr:colOff>
      <xdr:row>811</xdr:row>
      <xdr:rowOff>800100</xdr:rowOff>
    </xdr:to>
    <xdr:sp macro="" textlink="">
      <xdr:nvSpPr>
        <xdr:cNvPr id="1476" name="Имя " descr="Descr 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812</xdr:row>
      <xdr:rowOff>647700</xdr:rowOff>
    </xdr:from>
    <xdr:to>
      <xdr:col>3</xdr:col>
      <xdr:colOff>180975</xdr:colOff>
      <xdr:row>812</xdr:row>
      <xdr:rowOff>800100</xdr:rowOff>
    </xdr:to>
    <xdr:sp macro="" textlink="">
      <xdr:nvSpPr>
        <xdr:cNvPr id="1478" name="Имя " descr="Descr 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813</xdr:row>
      <xdr:rowOff>647700</xdr:rowOff>
    </xdr:from>
    <xdr:to>
      <xdr:col>3</xdr:col>
      <xdr:colOff>180975</xdr:colOff>
      <xdr:row>813</xdr:row>
      <xdr:rowOff>800100</xdr:rowOff>
    </xdr:to>
    <xdr:sp macro="" textlink="">
      <xdr:nvSpPr>
        <xdr:cNvPr id="1480" name="Имя " descr="Descr 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814</xdr:row>
      <xdr:rowOff>647700</xdr:rowOff>
    </xdr:from>
    <xdr:to>
      <xdr:col>3</xdr:col>
      <xdr:colOff>180975</xdr:colOff>
      <xdr:row>814</xdr:row>
      <xdr:rowOff>800100</xdr:rowOff>
    </xdr:to>
    <xdr:sp macro="" textlink="">
      <xdr:nvSpPr>
        <xdr:cNvPr id="1482" name="Имя " descr="Descr 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815</xdr:row>
      <xdr:rowOff>647700</xdr:rowOff>
    </xdr:from>
    <xdr:to>
      <xdr:col>3</xdr:col>
      <xdr:colOff>180975</xdr:colOff>
      <xdr:row>815</xdr:row>
      <xdr:rowOff>800100</xdr:rowOff>
    </xdr:to>
    <xdr:sp macro="" textlink="">
      <xdr:nvSpPr>
        <xdr:cNvPr id="1484" name="Имя " descr="Descr 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816</xdr:row>
      <xdr:rowOff>647700</xdr:rowOff>
    </xdr:from>
    <xdr:to>
      <xdr:col>3</xdr:col>
      <xdr:colOff>180975</xdr:colOff>
      <xdr:row>816</xdr:row>
      <xdr:rowOff>800100</xdr:rowOff>
    </xdr:to>
    <xdr:sp macro="" textlink="">
      <xdr:nvSpPr>
        <xdr:cNvPr id="1486" name="Имя " descr="Descr 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818</xdr:row>
      <xdr:rowOff>647700</xdr:rowOff>
    </xdr:from>
    <xdr:to>
      <xdr:col>3</xdr:col>
      <xdr:colOff>180975</xdr:colOff>
      <xdr:row>818</xdr:row>
      <xdr:rowOff>800100</xdr:rowOff>
    </xdr:to>
    <xdr:sp macro="" textlink="">
      <xdr:nvSpPr>
        <xdr:cNvPr id="1488" name="Имя " descr="Descr 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819</xdr:row>
      <xdr:rowOff>647700</xdr:rowOff>
    </xdr:from>
    <xdr:to>
      <xdr:col>3</xdr:col>
      <xdr:colOff>180975</xdr:colOff>
      <xdr:row>819</xdr:row>
      <xdr:rowOff>800100</xdr:rowOff>
    </xdr:to>
    <xdr:sp macro="" textlink="">
      <xdr:nvSpPr>
        <xdr:cNvPr id="1490" name="Имя " descr="Descr 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820</xdr:row>
      <xdr:rowOff>647700</xdr:rowOff>
    </xdr:from>
    <xdr:to>
      <xdr:col>3</xdr:col>
      <xdr:colOff>180975</xdr:colOff>
      <xdr:row>820</xdr:row>
      <xdr:rowOff>800100</xdr:rowOff>
    </xdr:to>
    <xdr:sp macro="" textlink="">
      <xdr:nvSpPr>
        <xdr:cNvPr id="1492" name="Имя " descr="Descr 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821</xdr:row>
      <xdr:rowOff>647700</xdr:rowOff>
    </xdr:from>
    <xdr:to>
      <xdr:col>3</xdr:col>
      <xdr:colOff>180975</xdr:colOff>
      <xdr:row>821</xdr:row>
      <xdr:rowOff>800100</xdr:rowOff>
    </xdr:to>
    <xdr:sp macro="" textlink="">
      <xdr:nvSpPr>
        <xdr:cNvPr id="1494" name="Имя " descr="Descr 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822</xdr:row>
      <xdr:rowOff>647700</xdr:rowOff>
    </xdr:from>
    <xdr:to>
      <xdr:col>3</xdr:col>
      <xdr:colOff>180975</xdr:colOff>
      <xdr:row>822</xdr:row>
      <xdr:rowOff>800100</xdr:rowOff>
    </xdr:to>
    <xdr:sp macro="" textlink="">
      <xdr:nvSpPr>
        <xdr:cNvPr id="1496" name="Имя " descr="Descr 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823</xdr:row>
      <xdr:rowOff>647700</xdr:rowOff>
    </xdr:from>
    <xdr:to>
      <xdr:col>3</xdr:col>
      <xdr:colOff>180975</xdr:colOff>
      <xdr:row>823</xdr:row>
      <xdr:rowOff>800100</xdr:rowOff>
    </xdr:to>
    <xdr:sp macro="" textlink="">
      <xdr:nvSpPr>
        <xdr:cNvPr id="1498" name="Имя " descr="Descr 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824</xdr:row>
      <xdr:rowOff>647700</xdr:rowOff>
    </xdr:from>
    <xdr:to>
      <xdr:col>3</xdr:col>
      <xdr:colOff>180975</xdr:colOff>
      <xdr:row>824</xdr:row>
      <xdr:rowOff>800100</xdr:rowOff>
    </xdr:to>
    <xdr:sp macro="" textlink="">
      <xdr:nvSpPr>
        <xdr:cNvPr id="1500" name="Имя " descr="Descr 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825</xdr:row>
      <xdr:rowOff>647700</xdr:rowOff>
    </xdr:from>
    <xdr:to>
      <xdr:col>3</xdr:col>
      <xdr:colOff>180975</xdr:colOff>
      <xdr:row>825</xdr:row>
      <xdr:rowOff>800100</xdr:rowOff>
    </xdr:to>
    <xdr:sp macro="" textlink="">
      <xdr:nvSpPr>
        <xdr:cNvPr id="1502" name="Имя " descr="Descr 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826</xdr:row>
      <xdr:rowOff>647700</xdr:rowOff>
    </xdr:from>
    <xdr:to>
      <xdr:col>3</xdr:col>
      <xdr:colOff>180975</xdr:colOff>
      <xdr:row>826</xdr:row>
      <xdr:rowOff>800100</xdr:rowOff>
    </xdr:to>
    <xdr:sp macro="" textlink="">
      <xdr:nvSpPr>
        <xdr:cNvPr id="1504" name="Имя " descr="Descr 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827</xdr:row>
      <xdr:rowOff>647700</xdr:rowOff>
    </xdr:from>
    <xdr:to>
      <xdr:col>3</xdr:col>
      <xdr:colOff>180975</xdr:colOff>
      <xdr:row>827</xdr:row>
      <xdr:rowOff>800100</xdr:rowOff>
    </xdr:to>
    <xdr:sp macro="" textlink="">
      <xdr:nvSpPr>
        <xdr:cNvPr id="1506" name="Имя " descr="Descr 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828</xdr:row>
      <xdr:rowOff>647700</xdr:rowOff>
    </xdr:from>
    <xdr:to>
      <xdr:col>3</xdr:col>
      <xdr:colOff>180975</xdr:colOff>
      <xdr:row>828</xdr:row>
      <xdr:rowOff>800100</xdr:rowOff>
    </xdr:to>
    <xdr:sp macro="" textlink="">
      <xdr:nvSpPr>
        <xdr:cNvPr id="1508" name="Имя " descr="Descr 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829</xdr:row>
      <xdr:rowOff>647700</xdr:rowOff>
    </xdr:from>
    <xdr:to>
      <xdr:col>3</xdr:col>
      <xdr:colOff>180975</xdr:colOff>
      <xdr:row>829</xdr:row>
      <xdr:rowOff>800100</xdr:rowOff>
    </xdr:to>
    <xdr:sp macro="" textlink="">
      <xdr:nvSpPr>
        <xdr:cNvPr id="1510" name="Имя " descr="Descr 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830</xdr:row>
      <xdr:rowOff>647700</xdr:rowOff>
    </xdr:from>
    <xdr:to>
      <xdr:col>3</xdr:col>
      <xdr:colOff>180975</xdr:colOff>
      <xdr:row>830</xdr:row>
      <xdr:rowOff>800100</xdr:rowOff>
    </xdr:to>
    <xdr:sp macro="" textlink="">
      <xdr:nvSpPr>
        <xdr:cNvPr id="1512" name="Имя " descr="Descr 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831</xdr:row>
      <xdr:rowOff>647700</xdr:rowOff>
    </xdr:from>
    <xdr:to>
      <xdr:col>3</xdr:col>
      <xdr:colOff>180975</xdr:colOff>
      <xdr:row>831</xdr:row>
      <xdr:rowOff>800100</xdr:rowOff>
    </xdr:to>
    <xdr:sp macro="" textlink="">
      <xdr:nvSpPr>
        <xdr:cNvPr id="1514" name="Имя " descr="Descr 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832</xdr:row>
      <xdr:rowOff>647700</xdr:rowOff>
    </xdr:from>
    <xdr:to>
      <xdr:col>3</xdr:col>
      <xdr:colOff>180975</xdr:colOff>
      <xdr:row>832</xdr:row>
      <xdr:rowOff>800100</xdr:rowOff>
    </xdr:to>
    <xdr:sp macro="" textlink="">
      <xdr:nvSpPr>
        <xdr:cNvPr id="1516" name="Имя " descr="Descr 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833</xdr:row>
      <xdr:rowOff>647700</xdr:rowOff>
    </xdr:from>
    <xdr:to>
      <xdr:col>3</xdr:col>
      <xdr:colOff>180975</xdr:colOff>
      <xdr:row>833</xdr:row>
      <xdr:rowOff>800100</xdr:rowOff>
    </xdr:to>
    <xdr:sp macro="" textlink="">
      <xdr:nvSpPr>
        <xdr:cNvPr id="1518" name="Имя " descr="Descr 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834</xdr:row>
      <xdr:rowOff>647700</xdr:rowOff>
    </xdr:from>
    <xdr:to>
      <xdr:col>3</xdr:col>
      <xdr:colOff>180975</xdr:colOff>
      <xdr:row>834</xdr:row>
      <xdr:rowOff>800100</xdr:rowOff>
    </xdr:to>
    <xdr:sp macro="" textlink="">
      <xdr:nvSpPr>
        <xdr:cNvPr id="1520" name="Имя " descr="Descr 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835</xdr:row>
      <xdr:rowOff>647700</xdr:rowOff>
    </xdr:from>
    <xdr:to>
      <xdr:col>3</xdr:col>
      <xdr:colOff>180975</xdr:colOff>
      <xdr:row>835</xdr:row>
      <xdr:rowOff>800100</xdr:rowOff>
    </xdr:to>
    <xdr:sp macro="" textlink="">
      <xdr:nvSpPr>
        <xdr:cNvPr id="1522" name="Имя " descr="Descr 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836</xdr:row>
      <xdr:rowOff>647700</xdr:rowOff>
    </xdr:from>
    <xdr:to>
      <xdr:col>3</xdr:col>
      <xdr:colOff>180975</xdr:colOff>
      <xdr:row>836</xdr:row>
      <xdr:rowOff>800100</xdr:rowOff>
    </xdr:to>
    <xdr:sp macro="" textlink="">
      <xdr:nvSpPr>
        <xdr:cNvPr id="1524" name="Имя " descr="Descr 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837</xdr:row>
      <xdr:rowOff>647700</xdr:rowOff>
    </xdr:from>
    <xdr:to>
      <xdr:col>3</xdr:col>
      <xdr:colOff>180975</xdr:colOff>
      <xdr:row>837</xdr:row>
      <xdr:rowOff>800100</xdr:rowOff>
    </xdr:to>
    <xdr:sp macro="" textlink="">
      <xdr:nvSpPr>
        <xdr:cNvPr id="1526" name="Имя " descr="Descr 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838</xdr:row>
      <xdr:rowOff>647700</xdr:rowOff>
    </xdr:from>
    <xdr:to>
      <xdr:col>3</xdr:col>
      <xdr:colOff>180975</xdr:colOff>
      <xdr:row>838</xdr:row>
      <xdr:rowOff>800100</xdr:rowOff>
    </xdr:to>
    <xdr:sp macro="" textlink="">
      <xdr:nvSpPr>
        <xdr:cNvPr id="1528" name="Имя " descr="Descr 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839</xdr:row>
      <xdr:rowOff>647700</xdr:rowOff>
    </xdr:from>
    <xdr:to>
      <xdr:col>3</xdr:col>
      <xdr:colOff>180975</xdr:colOff>
      <xdr:row>839</xdr:row>
      <xdr:rowOff>800100</xdr:rowOff>
    </xdr:to>
    <xdr:sp macro="" textlink="">
      <xdr:nvSpPr>
        <xdr:cNvPr id="1530" name="Имя " descr="Descr 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840</xdr:row>
      <xdr:rowOff>647700</xdr:rowOff>
    </xdr:from>
    <xdr:to>
      <xdr:col>3</xdr:col>
      <xdr:colOff>180975</xdr:colOff>
      <xdr:row>840</xdr:row>
      <xdr:rowOff>800100</xdr:rowOff>
    </xdr:to>
    <xdr:sp macro="" textlink="">
      <xdr:nvSpPr>
        <xdr:cNvPr id="1532" name="Имя " descr="Descr 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841</xdr:row>
      <xdr:rowOff>647700</xdr:rowOff>
    </xdr:from>
    <xdr:to>
      <xdr:col>3</xdr:col>
      <xdr:colOff>180975</xdr:colOff>
      <xdr:row>841</xdr:row>
      <xdr:rowOff>800100</xdr:rowOff>
    </xdr:to>
    <xdr:sp macro="" textlink="">
      <xdr:nvSpPr>
        <xdr:cNvPr id="1534" name="Имя " descr="Descr 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843</xdr:row>
      <xdr:rowOff>647700</xdr:rowOff>
    </xdr:from>
    <xdr:to>
      <xdr:col>3</xdr:col>
      <xdr:colOff>180975</xdr:colOff>
      <xdr:row>843</xdr:row>
      <xdr:rowOff>800100</xdr:rowOff>
    </xdr:to>
    <xdr:sp macro="" textlink="">
      <xdr:nvSpPr>
        <xdr:cNvPr id="1536" name="Имя " descr="Descr 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844</xdr:row>
      <xdr:rowOff>647700</xdr:rowOff>
    </xdr:from>
    <xdr:to>
      <xdr:col>3</xdr:col>
      <xdr:colOff>180975</xdr:colOff>
      <xdr:row>844</xdr:row>
      <xdr:rowOff>800100</xdr:rowOff>
    </xdr:to>
    <xdr:sp macro="" textlink="">
      <xdr:nvSpPr>
        <xdr:cNvPr id="1538" name="Имя " descr="Descr 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845</xdr:row>
      <xdr:rowOff>647700</xdr:rowOff>
    </xdr:from>
    <xdr:to>
      <xdr:col>3</xdr:col>
      <xdr:colOff>180975</xdr:colOff>
      <xdr:row>845</xdr:row>
      <xdr:rowOff>800100</xdr:rowOff>
    </xdr:to>
    <xdr:sp macro="" textlink="">
      <xdr:nvSpPr>
        <xdr:cNvPr id="1540" name="Имя " descr="Descr 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846</xdr:row>
      <xdr:rowOff>647700</xdr:rowOff>
    </xdr:from>
    <xdr:to>
      <xdr:col>3</xdr:col>
      <xdr:colOff>180975</xdr:colOff>
      <xdr:row>846</xdr:row>
      <xdr:rowOff>800100</xdr:rowOff>
    </xdr:to>
    <xdr:sp macro="" textlink="">
      <xdr:nvSpPr>
        <xdr:cNvPr id="1542" name="Имя " descr="Descr 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847</xdr:row>
      <xdr:rowOff>647700</xdr:rowOff>
    </xdr:from>
    <xdr:to>
      <xdr:col>3</xdr:col>
      <xdr:colOff>180975</xdr:colOff>
      <xdr:row>847</xdr:row>
      <xdr:rowOff>800100</xdr:rowOff>
    </xdr:to>
    <xdr:sp macro="" textlink="">
      <xdr:nvSpPr>
        <xdr:cNvPr id="1544" name="Имя " descr="Descr 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848</xdr:row>
      <xdr:rowOff>647700</xdr:rowOff>
    </xdr:from>
    <xdr:to>
      <xdr:col>3</xdr:col>
      <xdr:colOff>180975</xdr:colOff>
      <xdr:row>848</xdr:row>
      <xdr:rowOff>800100</xdr:rowOff>
    </xdr:to>
    <xdr:sp macro="" textlink="">
      <xdr:nvSpPr>
        <xdr:cNvPr id="1546" name="Имя " descr="Descr 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849</xdr:row>
      <xdr:rowOff>647700</xdr:rowOff>
    </xdr:from>
    <xdr:to>
      <xdr:col>3</xdr:col>
      <xdr:colOff>180975</xdr:colOff>
      <xdr:row>849</xdr:row>
      <xdr:rowOff>800100</xdr:rowOff>
    </xdr:to>
    <xdr:sp macro="" textlink="">
      <xdr:nvSpPr>
        <xdr:cNvPr id="1548" name="Имя " descr="Descr 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850</xdr:row>
      <xdr:rowOff>647700</xdr:rowOff>
    </xdr:from>
    <xdr:to>
      <xdr:col>3</xdr:col>
      <xdr:colOff>180975</xdr:colOff>
      <xdr:row>850</xdr:row>
      <xdr:rowOff>800100</xdr:rowOff>
    </xdr:to>
    <xdr:sp macro="" textlink="">
      <xdr:nvSpPr>
        <xdr:cNvPr id="1550" name="Имя " descr="Descr 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851</xdr:row>
      <xdr:rowOff>647700</xdr:rowOff>
    </xdr:from>
    <xdr:to>
      <xdr:col>3</xdr:col>
      <xdr:colOff>180975</xdr:colOff>
      <xdr:row>851</xdr:row>
      <xdr:rowOff>800100</xdr:rowOff>
    </xdr:to>
    <xdr:sp macro="" textlink="">
      <xdr:nvSpPr>
        <xdr:cNvPr id="1552" name="Имя " descr="Descr 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852</xdr:row>
      <xdr:rowOff>647700</xdr:rowOff>
    </xdr:from>
    <xdr:to>
      <xdr:col>3</xdr:col>
      <xdr:colOff>180975</xdr:colOff>
      <xdr:row>852</xdr:row>
      <xdr:rowOff>800100</xdr:rowOff>
    </xdr:to>
    <xdr:sp macro="" textlink="">
      <xdr:nvSpPr>
        <xdr:cNvPr id="1554" name="Имя " descr="Descr 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853</xdr:row>
      <xdr:rowOff>647700</xdr:rowOff>
    </xdr:from>
    <xdr:to>
      <xdr:col>3</xdr:col>
      <xdr:colOff>180975</xdr:colOff>
      <xdr:row>853</xdr:row>
      <xdr:rowOff>800100</xdr:rowOff>
    </xdr:to>
    <xdr:sp macro="" textlink="">
      <xdr:nvSpPr>
        <xdr:cNvPr id="1556" name="Имя " descr="Descr 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854</xdr:row>
      <xdr:rowOff>647700</xdr:rowOff>
    </xdr:from>
    <xdr:to>
      <xdr:col>3</xdr:col>
      <xdr:colOff>180975</xdr:colOff>
      <xdr:row>854</xdr:row>
      <xdr:rowOff>800100</xdr:rowOff>
    </xdr:to>
    <xdr:sp macro="" textlink="">
      <xdr:nvSpPr>
        <xdr:cNvPr id="1558" name="Имя " descr="Descr 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855</xdr:row>
      <xdr:rowOff>647700</xdr:rowOff>
    </xdr:from>
    <xdr:to>
      <xdr:col>3</xdr:col>
      <xdr:colOff>180975</xdr:colOff>
      <xdr:row>855</xdr:row>
      <xdr:rowOff>800100</xdr:rowOff>
    </xdr:to>
    <xdr:sp macro="" textlink="">
      <xdr:nvSpPr>
        <xdr:cNvPr id="1560" name="Имя " descr="Descr 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856</xdr:row>
      <xdr:rowOff>647700</xdr:rowOff>
    </xdr:from>
    <xdr:to>
      <xdr:col>3</xdr:col>
      <xdr:colOff>180975</xdr:colOff>
      <xdr:row>856</xdr:row>
      <xdr:rowOff>800100</xdr:rowOff>
    </xdr:to>
    <xdr:sp macro="" textlink="">
      <xdr:nvSpPr>
        <xdr:cNvPr id="1562" name="Имя " descr="Descr 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857</xdr:row>
      <xdr:rowOff>647700</xdr:rowOff>
    </xdr:from>
    <xdr:to>
      <xdr:col>3</xdr:col>
      <xdr:colOff>180975</xdr:colOff>
      <xdr:row>857</xdr:row>
      <xdr:rowOff>800100</xdr:rowOff>
    </xdr:to>
    <xdr:sp macro="" textlink="">
      <xdr:nvSpPr>
        <xdr:cNvPr id="1564" name="Имя " descr="Descr 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858</xdr:row>
      <xdr:rowOff>647700</xdr:rowOff>
    </xdr:from>
    <xdr:to>
      <xdr:col>3</xdr:col>
      <xdr:colOff>180975</xdr:colOff>
      <xdr:row>858</xdr:row>
      <xdr:rowOff>800100</xdr:rowOff>
    </xdr:to>
    <xdr:sp macro="" textlink="">
      <xdr:nvSpPr>
        <xdr:cNvPr id="1566" name="Имя " descr="Descr 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860</xdr:row>
      <xdr:rowOff>647700</xdr:rowOff>
    </xdr:from>
    <xdr:to>
      <xdr:col>3</xdr:col>
      <xdr:colOff>180975</xdr:colOff>
      <xdr:row>860</xdr:row>
      <xdr:rowOff>800100</xdr:rowOff>
    </xdr:to>
    <xdr:sp macro="" textlink="">
      <xdr:nvSpPr>
        <xdr:cNvPr id="1568" name="Имя " descr="Descr 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861</xdr:row>
      <xdr:rowOff>647700</xdr:rowOff>
    </xdr:from>
    <xdr:to>
      <xdr:col>3</xdr:col>
      <xdr:colOff>180975</xdr:colOff>
      <xdr:row>861</xdr:row>
      <xdr:rowOff>800100</xdr:rowOff>
    </xdr:to>
    <xdr:sp macro="" textlink="">
      <xdr:nvSpPr>
        <xdr:cNvPr id="1570" name="Имя " descr="Descr 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862</xdr:row>
      <xdr:rowOff>647700</xdr:rowOff>
    </xdr:from>
    <xdr:to>
      <xdr:col>3</xdr:col>
      <xdr:colOff>180975</xdr:colOff>
      <xdr:row>862</xdr:row>
      <xdr:rowOff>800100</xdr:rowOff>
    </xdr:to>
    <xdr:sp macro="" textlink="">
      <xdr:nvSpPr>
        <xdr:cNvPr id="1572" name="Имя " descr="Descr 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863</xdr:row>
      <xdr:rowOff>647700</xdr:rowOff>
    </xdr:from>
    <xdr:to>
      <xdr:col>3</xdr:col>
      <xdr:colOff>180975</xdr:colOff>
      <xdr:row>863</xdr:row>
      <xdr:rowOff>800100</xdr:rowOff>
    </xdr:to>
    <xdr:sp macro="" textlink="">
      <xdr:nvSpPr>
        <xdr:cNvPr id="1574" name="Имя " descr="Descr 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864</xdr:row>
      <xdr:rowOff>647700</xdr:rowOff>
    </xdr:from>
    <xdr:to>
      <xdr:col>3</xdr:col>
      <xdr:colOff>180975</xdr:colOff>
      <xdr:row>864</xdr:row>
      <xdr:rowOff>800100</xdr:rowOff>
    </xdr:to>
    <xdr:sp macro="" textlink="">
      <xdr:nvSpPr>
        <xdr:cNvPr id="1576" name="Имя " descr="Descr 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865</xdr:row>
      <xdr:rowOff>647700</xdr:rowOff>
    </xdr:from>
    <xdr:to>
      <xdr:col>3</xdr:col>
      <xdr:colOff>180975</xdr:colOff>
      <xdr:row>865</xdr:row>
      <xdr:rowOff>800100</xdr:rowOff>
    </xdr:to>
    <xdr:sp macro="" textlink="">
      <xdr:nvSpPr>
        <xdr:cNvPr id="1578" name="Имя " descr="Descr 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867</xdr:row>
      <xdr:rowOff>647700</xdr:rowOff>
    </xdr:from>
    <xdr:to>
      <xdr:col>3</xdr:col>
      <xdr:colOff>180975</xdr:colOff>
      <xdr:row>867</xdr:row>
      <xdr:rowOff>800100</xdr:rowOff>
    </xdr:to>
    <xdr:sp macro="" textlink="">
      <xdr:nvSpPr>
        <xdr:cNvPr id="1580" name="Имя " descr="Descr 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868</xdr:row>
      <xdr:rowOff>647700</xdr:rowOff>
    </xdr:from>
    <xdr:to>
      <xdr:col>3</xdr:col>
      <xdr:colOff>180975</xdr:colOff>
      <xdr:row>868</xdr:row>
      <xdr:rowOff>800100</xdr:rowOff>
    </xdr:to>
    <xdr:sp macro="" textlink="">
      <xdr:nvSpPr>
        <xdr:cNvPr id="1582" name="Имя " descr="Descr 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869</xdr:row>
      <xdr:rowOff>647700</xdr:rowOff>
    </xdr:from>
    <xdr:to>
      <xdr:col>3</xdr:col>
      <xdr:colOff>180975</xdr:colOff>
      <xdr:row>869</xdr:row>
      <xdr:rowOff>800100</xdr:rowOff>
    </xdr:to>
    <xdr:sp macro="" textlink="">
      <xdr:nvSpPr>
        <xdr:cNvPr id="1584" name="Имя " descr="Descr 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870</xdr:row>
      <xdr:rowOff>647700</xdr:rowOff>
    </xdr:from>
    <xdr:to>
      <xdr:col>3</xdr:col>
      <xdr:colOff>180975</xdr:colOff>
      <xdr:row>870</xdr:row>
      <xdr:rowOff>800100</xdr:rowOff>
    </xdr:to>
    <xdr:sp macro="" textlink="">
      <xdr:nvSpPr>
        <xdr:cNvPr id="1586" name="Имя " descr="Descr 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871</xdr:row>
      <xdr:rowOff>647700</xdr:rowOff>
    </xdr:from>
    <xdr:to>
      <xdr:col>3</xdr:col>
      <xdr:colOff>180975</xdr:colOff>
      <xdr:row>871</xdr:row>
      <xdr:rowOff>800100</xdr:rowOff>
    </xdr:to>
    <xdr:sp macro="" textlink="">
      <xdr:nvSpPr>
        <xdr:cNvPr id="1588" name="Имя " descr="Descr 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873</xdr:row>
      <xdr:rowOff>647700</xdr:rowOff>
    </xdr:from>
    <xdr:to>
      <xdr:col>3</xdr:col>
      <xdr:colOff>180975</xdr:colOff>
      <xdr:row>873</xdr:row>
      <xdr:rowOff>800100</xdr:rowOff>
    </xdr:to>
    <xdr:sp macro="" textlink="">
      <xdr:nvSpPr>
        <xdr:cNvPr id="1590" name="Имя " descr="Descr 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874</xdr:row>
      <xdr:rowOff>647700</xdr:rowOff>
    </xdr:from>
    <xdr:to>
      <xdr:col>3</xdr:col>
      <xdr:colOff>180975</xdr:colOff>
      <xdr:row>874</xdr:row>
      <xdr:rowOff>800100</xdr:rowOff>
    </xdr:to>
    <xdr:sp macro="" textlink="">
      <xdr:nvSpPr>
        <xdr:cNvPr id="1592" name="Имя " descr="Descr 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875</xdr:row>
      <xdr:rowOff>647700</xdr:rowOff>
    </xdr:from>
    <xdr:to>
      <xdr:col>3</xdr:col>
      <xdr:colOff>180975</xdr:colOff>
      <xdr:row>875</xdr:row>
      <xdr:rowOff>800100</xdr:rowOff>
    </xdr:to>
    <xdr:sp macro="" textlink="">
      <xdr:nvSpPr>
        <xdr:cNvPr id="1594" name="Имя " descr="Descr 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876</xdr:row>
      <xdr:rowOff>647700</xdr:rowOff>
    </xdr:from>
    <xdr:to>
      <xdr:col>3</xdr:col>
      <xdr:colOff>180975</xdr:colOff>
      <xdr:row>876</xdr:row>
      <xdr:rowOff>800100</xdr:rowOff>
    </xdr:to>
    <xdr:sp macro="" textlink="">
      <xdr:nvSpPr>
        <xdr:cNvPr id="1596" name="Имя " descr="Descr 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877</xdr:row>
      <xdr:rowOff>647700</xdr:rowOff>
    </xdr:from>
    <xdr:to>
      <xdr:col>3</xdr:col>
      <xdr:colOff>180975</xdr:colOff>
      <xdr:row>877</xdr:row>
      <xdr:rowOff>800100</xdr:rowOff>
    </xdr:to>
    <xdr:sp macro="" textlink="">
      <xdr:nvSpPr>
        <xdr:cNvPr id="1598" name="Имя " descr="Descr 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878</xdr:row>
      <xdr:rowOff>647700</xdr:rowOff>
    </xdr:from>
    <xdr:to>
      <xdr:col>3</xdr:col>
      <xdr:colOff>180975</xdr:colOff>
      <xdr:row>878</xdr:row>
      <xdr:rowOff>800100</xdr:rowOff>
    </xdr:to>
    <xdr:sp macro="" textlink="">
      <xdr:nvSpPr>
        <xdr:cNvPr id="1600" name="Имя " descr="Descr 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879</xdr:row>
      <xdr:rowOff>647700</xdr:rowOff>
    </xdr:from>
    <xdr:to>
      <xdr:col>3</xdr:col>
      <xdr:colOff>180975</xdr:colOff>
      <xdr:row>879</xdr:row>
      <xdr:rowOff>800100</xdr:rowOff>
    </xdr:to>
    <xdr:sp macro="" textlink="">
      <xdr:nvSpPr>
        <xdr:cNvPr id="1602" name="Имя " descr="Descr 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880</xdr:row>
      <xdr:rowOff>647700</xdr:rowOff>
    </xdr:from>
    <xdr:to>
      <xdr:col>3</xdr:col>
      <xdr:colOff>180975</xdr:colOff>
      <xdr:row>880</xdr:row>
      <xdr:rowOff>800100</xdr:rowOff>
    </xdr:to>
    <xdr:sp macro="" textlink="">
      <xdr:nvSpPr>
        <xdr:cNvPr id="1604" name="Имя " descr="Descr 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881</xdr:row>
      <xdr:rowOff>647700</xdr:rowOff>
    </xdr:from>
    <xdr:to>
      <xdr:col>3</xdr:col>
      <xdr:colOff>180975</xdr:colOff>
      <xdr:row>881</xdr:row>
      <xdr:rowOff>800100</xdr:rowOff>
    </xdr:to>
    <xdr:sp macro="" textlink="">
      <xdr:nvSpPr>
        <xdr:cNvPr id="1606" name="Имя " descr="Descr 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882</xdr:row>
      <xdr:rowOff>647700</xdr:rowOff>
    </xdr:from>
    <xdr:to>
      <xdr:col>3</xdr:col>
      <xdr:colOff>180975</xdr:colOff>
      <xdr:row>882</xdr:row>
      <xdr:rowOff>800100</xdr:rowOff>
    </xdr:to>
    <xdr:sp macro="" textlink="">
      <xdr:nvSpPr>
        <xdr:cNvPr id="1608" name="Имя " descr="Descr 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883</xdr:row>
      <xdr:rowOff>647700</xdr:rowOff>
    </xdr:from>
    <xdr:to>
      <xdr:col>3</xdr:col>
      <xdr:colOff>180975</xdr:colOff>
      <xdr:row>883</xdr:row>
      <xdr:rowOff>800100</xdr:rowOff>
    </xdr:to>
    <xdr:sp macro="" textlink="">
      <xdr:nvSpPr>
        <xdr:cNvPr id="1610" name="Имя " descr="Descr 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884</xdr:row>
      <xdr:rowOff>647700</xdr:rowOff>
    </xdr:from>
    <xdr:to>
      <xdr:col>3</xdr:col>
      <xdr:colOff>180975</xdr:colOff>
      <xdr:row>884</xdr:row>
      <xdr:rowOff>800100</xdr:rowOff>
    </xdr:to>
    <xdr:sp macro="" textlink="">
      <xdr:nvSpPr>
        <xdr:cNvPr id="1612" name="Имя " descr="Descr 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885</xdr:row>
      <xdr:rowOff>647700</xdr:rowOff>
    </xdr:from>
    <xdr:to>
      <xdr:col>3</xdr:col>
      <xdr:colOff>180975</xdr:colOff>
      <xdr:row>885</xdr:row>
      <xdr:rowOff>800100</xdr:rowOff>
    </xdr:to>
    <xdr:sp macro="" textlink="">
      <xdr:nvSpPr>
        <xdr:cNvPr id="1614" name="Имя " descr="Descr 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886</xdr:row>
      <xdr:rowOff>647700</xdr:rowOff>
    </xdr:from>
    <xdr:to>
      <xdr:col>3</xdr:col>
      <xdr:colOff>180975</xdr:colOff>
      <xdr:row>886</xdr:row>
      <xdr:rowOff>800100</xdr:rowOff>
    </xdr:to>
    <xdr:sp macro="" textlink="">
      <xdr:nvSpPr>
        <xdr:cNvPr id="1616" name="Имя " descr="Descr 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887</xdr:row>
      <xdr:rowOff>647700</xdr:rowOff>
    </xdr:from>
    <xdr:to>
      <xdr:col>3</xdr:col>
      <xdr:colOff>180975</xdr:colOff>
      <xdr:row>887</xdr:row>
      <xdr:rowOff>800100</xdr:rowOff>
    </xdr:to>
    <xdr:sp macro="" textlink="">
      <xdr:nvSpPr>
        <xdr:cNvPr id="1618" name="Имя " descr="Descr 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888</xdr:row>
      <xdr:rowOff>647700</xdr:rowOff>
    </xdr:from>
    <xdr:to>
      <xdr:col>3</xdr:col>
      <xdr:colOff>180975</xdr:colOff>
      <xdr:row>888</xdr:row>
      <xdr:rowOff>800100</xdr:rowOff>
    </xdr:to>
    <xdr:sp macro="" textlink="">
      <xdr:nvSpPr>
        <xdr:cNvPr id="1620" name="Имя " descr="Descr 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889</xdr:row>
      <xdr:rowOff>647700</xdr:rowOff>
    </xdr:from>
    <xdr:to>
      <xdr:col>3</xdr:col>
      <xdr:colOff>180975</xdr:colOff>
      <xdr:row>889</xdr:row>
      <xdr:rowOff>800100</xdr:rowOff>
    </xdr:to>
    <xdr:sp macro="" textlink="">
      <xdr:nvSpPr>
        <xdr:cNvPr id="1622" name="Имя " descr="Descr 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890</xdr:row>
      <xdr:rowOff>647700</xdr:rowOff>
    </xdr:from>
    <xdr:to>
      <xdr:col>3</xdr:col>
      <xdr:colOff>180975</xdr:colOff>
      <xdr:row>890</xdr:row>
      <xdr:rowOff>800100</xdr:rowOff>
    </xdr:to>
    <xdr:sp macro="" textlink="">
      <xdr:nvSpPr>
        <xdr:cNvPr id="1624" name="Имя " descr="Descr 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891</xdr:row>
      <xdr:rowOff>647700</xdr:rowOff>
    </xdr:from>
    <xdr:to>
      <xdr:col>3</xdr:col>
      <xdr:colOff>180975</xdr:colOff>
      <xdr:row>891</xdr:row>
      <xdr:rowOff>800100</xdr:rowOff>
    </xdr:to>
    <xdr:sp macro="" textlink="">
      <xdr:nvSpPr>
        <xdr:cNvPr id="1626" name="Имя " descr="Descr 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892</xdr:row>
      <xdr:rowOff>647700</xdr:rowOff>
    </xdr:from>
    <xdr:to>
      <xdr:col>3</xdr:col>
      <xdr:colOff>180975</xdr:colOff>
      <xdr:row>892</xdr:row>
      <xdr:rowOff>800100</xdr:rowOff>
    </xdr:to>
    <xdr:sp macro="" textlink="">
      <xdr:nvSpPr>
        <xdr:cNvPr id="1628" name="Имя " descr="Descr 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893</xdr:row>
      <xdr:rowOff>647700</xdr:rowOff>
    </xdr:from>
    <xdr:to>
      <xdr:col>3</xdr:col>
      <xdr:colOff>180975</xdr:colOff>
      <xdr:row>893</xdr:row>
      <xdr:rowOff>800100</xdr:rowOff>
    </xdr:to>
    <xdr:sp macro="" textlink="">
      <xdr:nvSpPr>
        <xdr:cNvPr id="1630" name="Имя " descr="Descr 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894</xdr:row>
      <xdr:rowOff>647700</xdr:rowOff>
    </xdr:from>
    <xdr:to>
      <xdr:col>3</xdr:col>
      <xdr:colOff>180975</xdr:colOff>
      <xdr:row>894</xdr:row>
      <xdr:rowOff>800100</xdr:rowOff>
    </xdr:to>
    <xdr:sp macro="" textlink="">
      <xdr:nvSpPr>
        <xdr:cNvPr id="1632" name="Имя " descr="Descr 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895</xdr:row>
      <xdr:rowOff>647700</xdr:rowOff>
    </xdr:from>
    <xdr:to>
      <xdr:col>3</xdr:col>
      <xdr:colOff>180975</xdr:colOff>
      <xdr:row>895</xdr:row>
      <xdr:rowOff>800100</xdr:rowOff>
    </xdr:to>
    <xdr:sp macro="" textlink="">
      <xdr:nvSpPr>
        <xdr:cNvPr id="1634" name="Имя " descr="Descr 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896</xdr:row>
      <xdr:rowOff>647700</xdr:rowOff>
    </xdr:from>
    <xdr:to>
      <xdr:col>3</xdr:col>
      <xdr:colOff>180975</xdr:colOff>
      <xdr:row>896</xdr:row>
      <xdr:rowOff>800100</xdr:rowOff>
    </xdr:to>
    <xdr:sp macro="" textlink="">
      <xdr:nvSpPr>
        <xdr:cNvPr id="1636" name="Имя " descr="Descr 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897</xdr:row>
      <xdr:rowOff>647700</xdr:rowOff>
    </xdr:from>
    <xdr:to>
      <xdr:col>3</xdr:col>
      <xdr:colOff>180975</xdr:colOff>
      <xdr:row>897</xdr:row>
      <xdr:rowOff>800100</xdr:rowOff>
    </xdr:to>
    <xdr:sp macro="" textlink="">
      <xdr:nvSpPr>
        <xdr:cNvPr id="1638" name="Имя " descr="Descr 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898</xdr:row>
      <xdr:rowOff>647700</xdr:rowOff>
    </xdr:from>
    <xdr:to>
      <xdr:col>3</xdr:col>
      <xdr:colOff>180975</xdr:colOff>
      <xdr:row>898</xdr:row>
      <xdr:rowOff>800100</xdr:rowOff>
    </xdr:to>
    <xdr:sp macro="" textlink="">
      <xdr:nvSpPr>
        <xdr:cNvPr id="1640" name="Имя " descr="Descr 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899</xdr:row>
      <xdr:rowOff>647700</xdr:rowOff>
    </xdr:from>
    <xdr:to>
      <xdr:col>3</xdr:col>
      <xdr:colOff>180975</xdr:colOff>
      <xdr:row>899</xdr:row>
      <xdr:rowOff>800100</xdr:rowOff>
    </xdr:to>
    <xdr:sp macro="" textlink="">
      <xdr:nvSpPr>
        <xdr:cNvPr id="1642" name="Имя " descr="Descr 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900</xdr:row>
      <xdr:rowOff>647700</xdr:rowOff>
    </xdr:from>
    <xdr:to>
      <xdr:col>3</xdr:col>
      <xdr:colOff>180975</xdr:colOff>
      <xdr:row>900</xdr:row>
      <xdr:rowOff>800100</xdr:rowOff>
    </xdr:to>
    <xdr:sp macro="" textlink="">
      <xdr:nvSpPr>
        <xdr:cNvPr id="1644" name="Имя " descr="Descr 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901</xdr:row>
      <xdr:rowOff>647700</xdr:rowOff>
    </xdr:from>
    <xdr:to>
      <xdr:col>3</xdr:col>
      <xdr:colOff>180975</xdr:colOff>
      <xdr:row>901</xdr:row>
      <xdr:rowOff>800100</xdr:rowOff>
    </xdr:to>
    <xdr:sp macro="" textlink="">
      <xdr:nvSpPr>
        <xdr:cNvPr id="1646" name="Имя " descr="Descr 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902</xdr:row>
      <xdr:rowOff>647700</xdr:rowOff>
    </xdr:from>
    <xdr:to>
      <xdr:col>3</xdr:col>
      <xdr:colOff>180975</xdr:colOff>
      <xdr:row>902</xdr:row>
      <xdr:rowOff>800100</xdr:rowOff>
    </xdr:to>
    <xdr:sp macro="" textlink="">
      <xdr:nvSpPr>
        <xdr:cNvPr id="1648" name="Имя " descr="Descr 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903</xdr:row>
      <xdr:rowOff>647700</xdr:rowOff>
    </xdr:from>
    <xdr:to>
      <xdr:col>3</xdr:col>
      <xdr:colOff>180975</xdr:colOff>
      <xdr:row>903</xdr:row>
      <xdr:rowOff>800100</xdr:rowOff>
    </xdr:to>
    <xdr:sp macro="" textlink="">
      <xdr:nvSpPr>
        <xdr:cNvPr id="1650" name="Имя " descr="Descr 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904</xdr:row>
      <xdr:rowOff>647700</xdr:rowOff>
    </xdr:from>
    <xdr:to>
      <xdr:col>3</xdr:col>
      <xdr:colOff>180975</xdr:colOff>
      <xdr:row>904</xdr:row>
      <xdr:rowOff>800100</xdr:rowOff>
    </xdr:to>
    <xdr:sp macro="" textlink="">
      <xdr:nvSpPr>
        <xdr:cNvPr id="1652" name="Имя " descr="Descr 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906</xdr:row>
      <xdr:rowOff>647700</xdr:rowOff>
    </xdr:from>
    <xdr:to>
      <xdr:col>3</xdr:col>
      <xdr:colOff>180975</xdr:colOff>
      <xdr:row>906</xdr:row>
      <xdr:rowOff>800100</xdr:rowOff>
    </xdr:to>
    <xdr:sp macro="" textlink="">
      <xdr:nvSpPr>
        <xdr:cNvPr id="1654" name="Имя " descr="Descr 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907</xdr:row>
      <xdr:rowOff>647700</xdr:rowOff>
    </xdr:from>
    <xdr:to>
      <xdr:col>3</xdr:col>
      <xdr:colOff>180975</xdr:colOff>
      <xdr:row>907</xdr:row>
      <xdr:rowOff>800100</xdr:rowOff>
    </xdr:to>
    <xdr:sp macro="" textlink="">
      <xdr:nvSpPr>
        <xdr:cNvPr id="1656" name="Имя " descr="Descr 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908</xdr:row>
      <xdr:rowOff>647700</xdr:rowOff>
    </xdr:from>
    <xdr:to>
      <xdr:col>3</xdr:col>
      <xdr:colOff>180975</xdr:colOff>
      <xdr:row>908</xdr:row>
      <xdr:rowOff>800100</xdr:rowOff>
    </xdr:to>
    <xdr:sp macro="" textlink="">
      <xdr:nvSpPr>
        <xdr:cNvPr id="1658" name="Имя " descr="Descr 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909</xdr:row>
      <xdr:rowOff>647700</xdr:rowOff>
    </xdr:from>
    <xdr:to>
      <xdr:col>3</xdr:col>
      <xdr:colOff>180975</xdr:colOff>
      <xdr:row>909</xdr:row>
      <xdr:rowOff>800100</xdr:rowOff>
    </xdr:to>
    <xdr:sp macro="" textlink="">
      <xdr:nvSpPr>
        <xdr:cNvPr id="1660" name="Имя " descr="Descr 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911</xdr:row>
      <xdr:rowOff>647700</xdr:rowOff>
    </xdr:from>
    <xdr:to>
      <xdr:col>3</xdr:col>
      <xdr:colOff>180975</xdr:colOff>
      <xdr:row>911</xdr:row>
      <xdr:rowOff>800100</xdr:rowOff>
    </xdr:to>
    <xdr:sp macro="" textlink="">
      <xdr:nvSpPr>
        <xdr:cNvPr id="1662" name="Имя " descr="Descr 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912</xdr:row>
      <xdr:rowOff>647700</xdr:rowOff>
    </xdr:from>
    <xdr:to>
      <xdr:col>3</xdr:col>
      <xdr:colOff>180975</xdr:colOff>
      <xdr:row>912</xdr:row>
      <xdr:rowOff>800100</xdr:rowOff>
    </xdr:to>
    <xdr:sp macro="" textlink="">
      <xdr:nvSpPr>
        <xdr:cNvPr id="1664" name="Имя " descr="Descr 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913</xdr:row>
      <xdr:rowOff>647700</xdr:rowOff>
    </xdr:from>
    <xdr:to>
      <xdr:col>3</xdr:col>
      <xdr:colOff>180975</xdr:colOff>
      <xdr:row>913</xdr:row>
      <xdr:rowOff>800100</xdr:rowOff>
    </xdr:to>
    <xdr:sp macro="" textlink="">
      <xdr:nvSpPr>
        <xdr:cNvPr id="1666" name="Имя " descr="Descr 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914</xdr:row>
      <xdr:rowOff>647700</xdr:rowOff>
    </xdr:from>
    <xdr:to>
      <xdr:col>3</xdr:col>
      <xdr:colOff>180975</xdr:colOff>
      <xdr:row>914</xdr:row>
      <xdr:rowOff>800100</xdr:rowOff>
    </xdr:to>
    <xdr:sp macro="" textlink="">
      <xdr:nvSpPr>
        <xdr:cNvPr id="1668" name="Имя " descr="Descr 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915</xdr:row>
      <xdr:rowOff>647700</xdr:rowOff>
    </xdr:from>
    <xdr:to>
      <xdr:col>3</xdr:col>
      <xdr:colOff>180975</xdr:colOff>
      <xdr:row>915</xdr:row>
      <xdr:rowOff>800100</xdr:rowOff>
    </xdr:to>
    <xdr:sp macro="" textlink="">
      <xdr:nvSpPr>
        <xdr:cNvPr id="1670" name="Имя " descr="Descr 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916</xdr:row>
      <xdr:rowOff>647700</xdr:rowOff>
    </xdr:from>
    <xdr:to>
      <xdr:col>3</xdr:col>
      <xdr:colOff>180975</xdr:colOff>
      <xdr:row>916</xdr:row>
      <xdr:rowOff>800100</xdr:rowOff>
    </xdr:to>
    <xdr:sp macro="" textlink="">
      <xdr:nvSpPr>
        <xdr:cNvPr id="1672" name="Имя " descr="Descr 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917</xdr:row>
      <xdr:rowOff>647700</xdr:rowOff>
    </xdr:from>
    <xdr:to>
      <xdr:col>3</xdr:col>
      <xdr:colOff>180975</xdr:colOff>
      <xdr:row>917</xdr:row>
      <xdr:rowOff>800100</xdr:rowOff>
    </xdr:to>
    <xdr:sp macro="" textlink="">
      <xdr:nvSpPr>
        <xdr:cNvPr id="1674" name="Имя " descr="Descr 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918</xdr:row>
      <xdr:rowOff>647700</xdr:rowOff>
    </xdr:from>
    <xdr:to>
      <xdr:col>3</xdr:col>
      <xdr:colOff>180975</xdr:colOff>
      <xdr:row>918</xdr:row>
      <xdr:rowOff>800100</xdr:rowOff>
    </xdr:to>
    <xdr:sp macro="" textlink="">
      <xdr:nvSpPr>
        <xdr:cNvPr id="1676" name="Имя " descr="Descr 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919</xdr:row>
      <xdr:rowOff>647700</xdr:rowOff>
    </xdr:from>
    <xdr:to>
      <xdr:col>3</xdr:col>
      <xdr:colOff>180975</xdr:colOff>
      <xdr:row>919</xdr:row>
      <xdr:rowOff>800100</xdr:rowOff>
    </xdr:to>
    <xdr:sp macro="" textlink="">
      <xdr:nvSpPr>
        <xdr:cNvPr id="1678" name="Имя " descr="Descr 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922</xdr:row>
      <xdr:rowOff>647700</xdr:rowOff>
    </xdr:from>
    <xdr:to>
      <xdr:col>3</xdr:col>
      <xdr:colOff>180975</xdr:colOff>
      <xdr:row>922</xdr:row>
      <xdr:rowOff>800100</xdr:rowOff>
    </xdr:to>
    <xdr:sp macro="" textlink="">
      <xdr:nvSpPr>
        <xdr:cNvPr id="1680" name="Имя " descr="Descr 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923</xdr:row>
      <xdr:rowOff>647700</xdr:rowOff>
    </xdr:from>
    <xdr:to>
      <xdr:col>3</xdr:col>
      <xdr:colOff>180975</xdr:colOff>
      <xdr:row>923</xdr:row>
      <xdr:rowOff>800100</xdr:rowOff>
    </xdr:to>
    <xdr:sp macro="" textlink="">
      <xdr:nvSpPr>
        <xdr:cNvPr id="1682" name="Имя " descr="Descr 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924</xdr:row>
      <xdr:rowOff>647700</xdr:rowOff>
    </xdr:from>
    <xdr:to>
      <xdr:col>3</xdr:col>
      <xdr:colOff>180975</xdr:colOff>
      <xdr:row>924</xdr:row>
      <xdr:rowOff>800100</xdr:rowOff>
    </xdr:to>
    <xdr:sp macro="" textlink="">
      <xdr:nvSpPr>
        <xdr:cNvPr id="1684" name="Имя " descr="Descr 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925</xdr:row>
      <xdr:rowOff>647700</xdr:rowOff>
    </xdr:from>
    <xdr:to>
      <xdr:col>3</xdr:col>
      <xdr:colOff>180975</xdr:colOff>
      <xdr:row>925</xdr:row>
      <xdr:rowOff>800100</xdr:rowOff>
    </xdr:to>
    <xdr:sp macro="" textlink="">
      <xdr:nvSpPr>
        <xdr:cNvPr id="1686" name="Имя " descr="Descr 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927</xdr:row>
      <xdr:rowOff>647700</xdr:rowOff>
    </xdr:from>
    <xdr:to>
      <xdr:col>3</xdr:col>
      <xdr:colOff>180975</xdr:colOff>
      <xdr:row>927</xdr:row>
      <xdr:rowOff>800100</xdr:rowOff>
    </xdr:to>
    <xdr:sp macro="" textlink="">
      <xdr:nvSpPr>
        <xdr:cNvPr id="1688" name="Имя " descr="Descr 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928</xdr:row>
      <xdr:rowOff>647700</xdr:rowOff>
    </xdr:from>
    <xdr:to>
      <xdr:col>3</xdr:col>
      <xdr:colOff>180975</xdr:colOff>
      <xdr:row>928</xdr:row>
      <xdr:rowOff>800100</xdr:rowOff>
    </xdr:to>
    <xdr:sp macro="" textlink="">
      <xdr:nvSpPr>
        <xdr:cNvPr id="1690" name="Имя " descr="Descr 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929</xdr:row>
      <xdr:rowOff>647700</xdr:rowOff>
    </xdr:from>
    <xdr:to>
      <xdr:col>3</xdr:col>
      <xdr:colOff>180975</xdr:colOff>
      <xdr:row>929</xdr:row>
      <xdr:rowOff>800100</xdr:rowOff>
    </xdr:to>
    <xdr:sp macro="" textlink="">
      <xdr:nvSpPr>
        <xdr:cNvPr id="1692" name="Имя " descr="Descr 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930</xdr:row>
      <xdr:rowOff>647700</xdr:rowOff>
    </xdr:from>
    <xdr:to>
      <xdr:col>3</xdr:col>
      <xdr:colOff>180975</xdr:colOff>
      <xdr:row>930</xdr:row>
      <xdr:rowOff>800100</xdr:rowOff>
    </xdr:to>
    <xdr:sp macro="" textlink="">
      <xdr:nvSpPr>
        <xdr:cNvPr id="1694" name="Имя " descr="Descr 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931</xdr:row>
      <xdr:rowOff>647700</xdr:rowOff>
    </xdr:from>
    <xdr:to>
      <xdr:col>3</xdr:col>
      <xdr:colOff>180975</xdr:colOff>
      <xdr:row>931</xdr:row>
      <xdr:rowOff>800100</xdr:rowOff>
    </xdr:to>
    <xdr:sp macro="" textlink="">
      <xdr:nvSpPr>
        <xdr:cNvPr id="1696" name="Имя " descr="Descr 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932</xdr:row>
      <xdr:rowOff>647700</xdr:rowOff>
    </xdr:from>
    <xdr:to>
      <xdr:col>3</xdr:col>
      <xdr:colOff>180975</xdr:colOff>
      <xdr:row>932</xdr:row>
      <xdr:rowOff>800100</xdr:rowOff>
    </xdr:to>
    <xdr:sp macro="" textlink="">
      <xdr:nvSpPr>
        <xdr:cNvPr id="1698" name="Имя " descr="Descr 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933</xdr:row>
      <xdr:rowOff>647700</xdr:rowOff>
    </xdr:from>
    <xdr:to>
      <xdr:col>3</xdr:col>
      <xdr:colOff>180975</xdr:colOff>
      <xdr:row>933</xdr:row>
      <xdr:rowOff>800100</xdr:rowOff>
    </xdr:to>
    <xdr:sp macro="" textlink="">
      <xdr:nvSpPr>
        <xdr:cNvPr id="1700" name="Имя " descr="Descr 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934</xdr:row>
      <xdr:rowOff>647700</xdr:rowOff>
    </xdr:from>
    <xdr:to>
      <xdr:col>3</xdr:col>
      <xdr:colOff>180975</xdr:colOff>
      <xdr:row>934</xdr:row>
      <xdr:rowOff>800100</xdr:rowOff>
    </xdr:to>
    <xdr:sp macro="" textlink="">
      <xdr:nvSpPr>
        <xdr:cNvPr id="1702" name="Имя " descr="Descr 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935</xdr:row>
      <xdr:rowOff>647700</xdr:rowOff>
    </xdr:from>
    <xdr:to>
      <xdr:col>3</xdr:col>
      <xdr:colOff>180975</xdr:colOff>
      <xdr:row>935</xdr:row>
      <xdr:rowOff>800100</xdr:rowOff>
    </xdr:to>
    <xdr:sp macro="" textlink="">
      <xdr:nvSpPr>
        <xdr:cNvPr id="1704" name="Имя " descr="Descr 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936</xdr:row>
      <xdr:rowOff>647700</xdr:rowOff>
    </xdr:from>
    <xdr:to>
      <xdr:col>3</xdr:col>
      <xdr:colOff>180975</xdr:colOff>
      <xdr:row>936</xdr:row>
      <xdr:rowOff>800100</xdr:rowOff>
    </xdr:to>
    <xdr:sp macro="" textlink="">
      <xdr:nvSpPr>
        <xdr:cNvPr id="1706" name="Имя " descr="Descr 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937</xdr:row>
      <xdr:rowOff>647700</xdr:rowOff>
    </xdr:from>
    <xdr:to>
      <xdr:col>3</xdr:col>
      <xdr:colOff>180975</xdr:colOff>
      <xdr:row>937</xdr:row>
      <xdr:rowOff>800100</xdr:rowOff>
    </xdr:to>
    <xdr:sp macro="" textlink="">
      <xdr:nvSpPr>
        <xdr:cNvPr id="1708" name="Имя " descr="Descr 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938</xdr:row>
      <xdr:rowOff>647700</xdr:rowOff>
    </xdr:from>
    <xdr:to>
      <xdr:col>3</xdr:col>
      <xdr:colOff>180975</xdr:colOff>
      <xdr:row>938</xdr:row>
      <xdr:rowOff>800100</xdr:rowOff>
    </xdr:to>
    <xdr:sp macro="" textlink="">
      <xdr:nvSpPr>
        <xdr:cNvPr id="1710" name="Имя " descr="Descr 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939</xdr:row>
      <xdr:rowOff>647700</xdr:rowOff>
    </xdr:from>
    <xdr:to>
      <xdr:col>3</xdr:col>
      <xdr:colOff>180975</xdr:colOff>
      <xdr:row>939</xdr:row>
      <xdr:rowOff>800100</xdr:rowOff>
    </xdr:to>
    <xdr:sp macro="" textlink="">
      <xdr:nvSpPr>
        <xdr:cNvPr id="1712" name="Имя " descr="Descr 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940</xdr:row>
      <xdr:rowOff>647700</xdr:rowOff>
    </xdr:from>
    <xdr:to>
      <xdr:col>3</xdr:col>
      <xdr:colOff>180975</xdr:colOff>
      <xdr:row>940</xdr:row>
      <xdr:rowOff>800100</xdr:rowOff>
    </xdr:to>
    <xdr:sp macro="" textlink="">
      <xdr:nvSpPr>
        <xdr:cNvPr id="1714" name="Имя " descr="Descr 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941</xdr:row>
      <xdr:rowOff>647700</xdr:rowOff>
    </xdr:from>
    <xdr:to>
      <xdr:col>3</xdr:col>
      <xdr:colOff>180975</xdr:colOff>
      <xdr:row>941</xdr:row>
      <xdr:rowOff>800100</xdr:rowOff>
    </xdr:to>
    <xdr:sp macro="" textlink="">
      <xdr:nvSpPr>
        <xdr:cNvPr id="1716" name="Имя " descr="Descr 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942</xdr:row>
      <xdr:rowOff>647700</xdr:rowOff>
    </xdr:from>
    <xdr:to>
      <xdr:col>3</xdr:col>
      <xdr:colOff>180975</xdr:colOff>
      <xdr:row>942</xdr:row>
      <xdr:rowOff>800100</xdr:rowOff>
    </xdr:to>
    <xdr:sp macro="" textlink="">
      <xdr:nvSpPr>
        <xdr:cNvPr id="1718" name="Имя " descr="Descr 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943</xdr:row>
      <xdr:rowOff>647700</xdr:rowOff>
    </xdr:from>
    <xdr:to>
      <xdr:col>3</xdr:col>
      <xdr:colOff>180975</xdr:colOff>
      <xdr:row>943</xdr:row>
      <xdr:rowOff>800100</xdr:rowOff>
    </xdr:to>
    <xdr:sp macro="" textlink="">
      <xdr:nvSpPr>
        <xdr:cNvPr id="1720" name="Имя " descr="Descr 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944</xdr:row>
      <xdr:rowOff>647700</xdr:rowOff>
    </xdr:from>
    <xdr:to>
      <xdr:col>3</xdr:col>
      <xdr:colOff>180975</xdr:colOff>
      <xdr:row>944</xdr:row>
      <xdr:rowOff>800100</xdr:rowOff>
    </xdr:to>
    <xdr:sp macro="" textlink="">
      <xdr:nvSpPr>
        <xdr:cNvPr id="1722" name="Имя " descr="Descr 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946</xdr:row>
      <xdr:rowOff>647700</xdr:rowOff>
    </xdr:from>
    <xdr:to>
      <xdr:col>3</xdr:col>
      <xdr:colOff>180975</xdr:colOff>
      <xdr:row>946</xdr:row>
      <xdr:rowOff>800100</xdr:rowOff>
    </xdr:to>
    <xdr:sp macro="" textlink="">
      <xdr:nvSpPr>
        <xdr:cNvPr id="1724" name="Имя " descr="Descr 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947</xdr:row>
      <xdr:rowOff>647700</xdr:rowOff>
    </xdr:from>
    <xdr:to>
      <xdr:col>3</xdr:col>
      <xdr:colOff>180975</xdr:colOff>
      <xdr:row>947</xdr:row>
      <xdr:rowOff>800100</xdr:rowOff>
    </xdr:to>
    <xdr:sp macro="" textlink="">
      <xdr:nvSpPr>
        <xdr:cNvPr id="1726" name="Имя " descr="Descr 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948</xdr:row>
      <xdr:rowOff>647700</xdr:rowOff>
    </xdr:from>
    <xdr:to>
      <xdr:col>3</xdr:col>
      <xdr:colOff>180975</xdr:colOff>
      <xdr:row>948</xdr:row>
      <xdr:rowOff>800100</xdr:rowOff>
    </xdr:to>
    <xdr:sp macro="" textlink="">
      <xdr:nvSpPr>
        <xdr:cNvPr id="1728" name="Имя " descr="Descr 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949</xdr:row>
      <xdr:rowOff>647700</xdr:rowOff>
    </xdr:from>
    <xdr:to>
      <xdr:col>3</xdr:col>
      <xdr:colOff>180975</xdr:colOff>
      <xdr:row>949</xdr:row>
      <xdr:rowOff>800100</xdr:rowOff>
    </xdr:to>
    <xdr:sp macro="" textlink="">
      <xdr:nvSpPr>
        <xdr:cNvPr id="1730" name="Имя " descr="Descr 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950</xdr:row>
      <xdr:rowOff>647700</xdr:rowOff>
    </xdr:from>
    <xdr:to>
      <xdr:col>3</xdr:col>
      <xdr:colOff>180975</xdr:colOff>
      <xdr:row>950</xdr:row>
      <xdr:rowOff>800100</xdr:rowOff>
    </xdr:to>
    <xdr:sp macro="" textlink="">
      <xdr:nvSpPr>
        <xdr:cNvPr id="1732" name="Имя " descr="Descr 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951</xdr:row>
      <xdr:rowOff>647700</xdr:rowOff>
    </xdr:from>
    <xdr:to>
      <xdr:col>3</xdr:col>
      <xdr:colOff>180975</xdr:colOff>
      <xdr:row>951</xdr:row>
      <xdr:rowOff>800100</xdr:rowOff>
    </xdr:to>
    <xdr:sp macro="" textlink="">
      <xdr:nvSpPr>
        <xdr:cNvPr id="1734" name="Имя " descr="Descr 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952</xdr:row>
      <xdr:rowOff>647700</xdr:rowOff>
    </xdr:from>
    <xdr:to>
      <xdr:col>3</xdr:col>
      <xdr:colOff>180975</xdr:colOff>
      <xdr:row>952</xdr:row>
      <xdr:rowOff>800100</xdr:rowOff>
    </xdr:to>
    <xdr:sp macro="" textlink="">
      <xdr:nvSpPr>
        <xdr:cNvPr id="1736" name="Имя " descr="Descr 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953</xdr:row>
      <xdr:rowOff>647700</xdr:rowOff>
    </xdr:from>
    <xdr:to>
      <xdr:col>3</xdr:col>
      <xdr:colOff>180975</xdr:colOff>
      <xdr:row>953</xdr:row>
      <xdr:rowOff>800100</xdr:rowOff>
    </xdr:to>
    <xdr:sp macro="" textlink="">
      <xdr:nvSpPr>
        <xdr:cNvPr id="1738" name="Имя " descr="Descr 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954</xdr:row>
      <xdr:rowOff>647700</xdr:rowOff>
    </xdr:from>
    <xdr:to>
      <xdr:col>3</xdr:col>
      <xdr:colOff>180975</xdr:colOff>
      <xdr:row>954</xdr:row>
      <xdr:rowOff>800100</xdr:rowOff>
    </xdr:to>
    <xdr:sp macro="" textlink="">
      <xdr:nvSpPr>
        <xdr:cNvPr id="1740" name="Имя " descr="Descr 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955</xdr:row>
      <xdr:rowOff>647700</xdr:rowOff>
    </xdr:from>
    <xdr:to>
      <xdr:col>3</xdr:col>
      <xdr:colOff>180975</xdr:colOff>
      <xdr:row>955</xdr:row>
      <xdr:rowOff>800100</xdr:rowOff>
    </xdr:to>
    <xdr:sp macro="" textlink="">
      <xdr:nvSpPr>
        <xdr:cNvPr id="1742" name="Имя " descr="Descr 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957</xdr:row>
      <xdr:rowOff>647700</xdr:rowOff>
    </xdr:from>
    <xdr:to>
      <xdr:col>3</xdr:col>
      <xdr:colOff>180975</xdr:colOff>
      <xdr:row>957</xdr:row>
      <xdr:rowOff>800100</xdr:rowOff>
    </xdr:to>
    <xdr:sp macro="" textlink="">
      <xdr:nvSpPr>
        <xdr:cNvPr id="1744" name="Имя " descr="Descr 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958</xdr:row>
      <xdr:rowOff>647700</xdr:rowOff>
    </xdr:from>
    <xdr:to>
      <xdr:col>3</xdr:col>
      <xdr:colOff>180975</xdr:colOff>
      <xdr:row>958</xdr:row>
      <xdr:rowOff>800100</xdr:rowOff>
    </xdr:to>
    <xdr:sp macro="" textlink="">
      <xdr:nvSpPr>
        <xdr:cNvPr id="1746" name="Имя " descr="Descr 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959</xdr:row>
      <xdr:rowOff>647700</xdr:rowOff>
    </xdr:from>
    <xdr:to>
      <xdr:col>3</xdr:col>
      <xdr:colOff>180975</xdr:colOff>
      <xdr:row>959</xdr:row>
      <xdr:rowOff>800100</xdr:rowOff>
    </xdr:to>
    <xdr:sp macro="" textlink="">
      <xdr:nvSpPr>
        <xdr:cNvPr id="1748" name="Имя " descr="Descr 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960</xdr:row>
      <xdr:rowOff>647700</xdr:rowOff>
    </xdr:from>
    <xdr:to>
      <xdr:col>3</xdr:col>
      <xdr:colOff>180975</xdr:colOff>
      <xdr:row>960</xdr:row>
      <xdr:rowOff>800100</xdr:rowOff>
    </xdr:to>
    <xdr:sp macro="" textlink="">
      <xdr:nvSpPr>
        <xdr:cNvPr id="1750" name="Имя " descr="Descr 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961</xdr:row>
      <xdr:rowOff>647700</xdr:rowOff>
    </xdr:from>
    <xdr:to>
      <xdr:col>3</xdr:col>
      <xdr:colOff>180975</xdr:colOff>
      <xdr:row>961</xdr:row>
      <xdr:rowOff>800100</xdr:rowOff>
    </xdr:to>
    <xdr:sp macro="" textlink="">
      <xdr:nvSpPr>
        <xdr:cNvPr id="1752" name="Имя " descr="Descr 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963</xdr:row>
      <xdr:rowOff>647700</xdr:rowOff>
    </xdr:from>
    <xdr:to>
      <xdr:col>3</xdr:col>
      <xdr:colOff>180975</xdr:colOff>
      <xdr:row>963</xdr:row>
      <xdr:rowOff>800100</xdr:rowOff>
    </xdr:to>
    <xdr:sp macro="" textlink="">
      <xdr:nvSpPr>
        <xdr:cNvPr id="1754" name="Имя " descr="Descr 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964</xdr:row>
      <xdr:rowOff>647700</xdr:rowOff>
    </xdr:from>
    <xdr:to>
      <xdr:col>3</xdr:col>
      <xdr:colOff>180975</xdr:colOff>
      <xdr:row>964</xdr:row>
      <xdr:rowOff>800100</xdr:rowOff>
    </xdr:to>
    <xdr:sp macro="" textlink="">
      <xdr:nvSpPr>
        <xdr:cNvPr id="1756" name="Имя " descr="Descr 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965</xdr:row>
      <xdr:rowOff>647700</xdr:rowOff>
    </xdr:from>
    <xdr:to>
      <xdr:col>3</xdr:col>
      <xdr:colOff>180975</xdr:colOff>
      <xdr:row>965</xdr:row>
      <xdr:rowOff>800100</xdr:rowOff>
    </xdr:to>
    <xdr:sp macro="" textlink="">
      <xdr:nvSpPr>
        <xdr:cNvPr id="1758" name="Имя " descr="Descr 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966</xdr:row>
      <xdr:rowOff>647700</xdr:rowOff>
    </xdr:from>
    <xdr:to>
      <xdr:col>3</xdr:col>
      <xdr:colOff>180975</xdr:colOff>
      <xdr:row>966</xdr:row>
      <xdr:rowOff>800100</xdr:rowOff>
    </xdr:to>
    <xdr:sp macro="" textlink="">
      <xdr:nvSpPr>
        <xdr:cNvPr id="1760" name="Имя " descr="Descr 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967</xdr:row>
      <xdr:rowOff>647700</xdr:rowOff>
    </xdr:from>
    <xdr:to>
      <xdr:col>3</xdr:col>
      <xdr:colOff>180975</xdr:colOff>
      <xdr:row>967</xdr:row>
      <xdr:rowOff>800100</xdr:rowOff>
    </xdr:to>
    <xdr:sp macro="" textlink="">
      <xdr:nvSpPr>
        <xdr:cNvPr id="1762" name="Имя " descr="Descr 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968</xdr:row>
      <xdr:rowOff>647700</xdr:rowOff>
    </xdr:from>
    <xdr:to>
      <xdr:col>3</xdr:col>
      <xdr:colOff>180975</xdr:colOff>
      <xdr:row>968</xdr:row>
      <xdr:rowOff>800100</xdr:rowOff>
    </xdr:to>
    <xdr:sp macro="" textlink="">
      <xdr:nvSpPr>
        <xdr:cNvPr id="1764" name="Имя " descr="Descr 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969</xdr:row>
      <xdr:rowOff>647700</xdr:rowOff>
    </xdr:from>
    <xdr:to>
      <xdr:col>3</xdr:col>
      <xdr:colOff>180975</xdr:colOff>
      <xdr:row>969</xdr:row>
      <xdr:rowOff>800100</xdr:rowOff>
    </xdr:to>
    <xdr:sp macro="" textlink="">
      <xdr:nvSpPr>
        <xdr:cNvPr id="1766" name="Имя " descr="Descr 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970</xdr:row>
      <xdr:rowOff>647700</xdr:rowOff>
    </xdr:from>
    <xdr:to>
      <xdr:col>3</xdr:col>
      <xdr:colOff>180975</xdr:colOff>
      <xdr:row>970</xdr:row>
      <xdr:rowOff>800100</xdr:rowOff>
    </xdr:to>
    <xdr:sp macro="" textlink="">
      <xdr:nvSpPr>
        <xdr:cNvPr id="1768" name="Имя " descr="Descr 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972</xdr:row>
      <xdr:rowOff>647700</xdr:rowOff>
    </xdr:from>
    <xdr:to>
      <xdr:col>3</xdr:col>
      <xdr:colOff>180975</xdr:colOff>
      <xdr:row>972</xdr:row>
      <xdr:rowOff>800100</xdr:rowOff>
    </xdr:to>
    <xdr:sp macro="" textlink="">
      <xdr:nvSpPr>
        <xdr:cNvPr id="1770" name="Имя " descr="Descr 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973</xdr:row>
      <xdr:rowOff>647700</xdr:rowOff>
    </xdr:from>
    <xdr:to>
      <xdr:col>3</xdr:col>
      <xdr:colOff>180975</xdr:colOff>
      <xdr:row>973</xdr:row>
      <xdr:rowOff>800100</xdr:rowOff>
    </xdr:to>
    <xdr:sp macro="" textlink="">
      <xdr:nvSpPr>
        <xdr:cNvPr id="1772" name="Имя " descr="Descr 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974</xdr:row>
      <xdr:rowOff>647700</xdr:rowOff>
    </xdr:from>
    <xdr:to>
      <xdr:col>3</xdr:col>
      <xdr:colOff>180975</xdr:colOff>
      <xdr:row>974</xdr:row>
      <xdr:rowOff>800100</xdr:rowOff>
    </xdr:to>
    <xdr:sp macro="" textlink="">
      <xdr:nvSpPr>
        <xdr:cNvPr id="1774" name="Имя " descr="Descr 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976</xdr:row>
      <xdr:rowOff>647700</xdr:rowOff>
    </xdr:from>
    <xdr:to>
      <xdr:col>3</xdr:col>
      <xdr:colOff>180975</xdr:colOff>
      <xdr:row>976</xdr:row>
      <xdr:rowOff>800100</xdr:rowOff>
    </xdr:to>
    <xdr:sp macro="" textlink="">
      <xdr:nvSpPr>
        <xdr:cNvPr id="1776" name="Имя " descr="Descr 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978</xdr:row>
      <xdr:rowOff>647700</xdr:rowOff>
    </xdr:from>
    <xdr:to>
      <xdr:col>3</xdr:col>
      <xdr:colOff>180975</xdr:colOff>
      <xdr:row>978</xdr:row>
      <xdr:rowOff>800100</xdr:rowOff>
    </xdr:to>
    <xdr:sp macro="" textlink="">
      <xdr:nvSpPr>
        <xdr:cNvPr id="1778" name="Имя " descr="Descr 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981</xdr:row>
      <xdr:rowOff>647700</xdr:rowOff>
    </xdr:from>
    <xdr:to>
      <xdr:col>3</xdr:col>
      <xdr:colOff>180975</xdr:colOff>
      <xdr:row>981</xdr:row>
      <xdr:rowOff>800100</xdr:rowOff>
    </xdr:to>
    <xdr:sp macro="" textlink="">
      <xdr:nvSpPr>
        <xdr:cNvPr id="1780" name="Имя " descr="Descr 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983</xdr:row>
      <xdr:rowOff>647700</xdr:rowOff>
    </xdr:from>
    <xdr:to>
      <xdr:col>3</xdr:col>
      <xdr:colOff>180975</xdr:colOff>
      <xdr:row>983</xdr:row>
      <xdr:rowOff>800100</xdr:rowOff>
    </xdr:to>
    <xdr:sp macro="" textlink="">
      <xdr:nvSpPr>
        <xdr:cNvPr id="1782" name="Имя " descr="Descr 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984</xdr:row>
      <xdr:rowOff>647700</xdr:rowOff>
    </xdr:from>
    <xdr:to>
      <xdr:col>3</xdr:col>
      <xdr:colOff>180975</xdr:colOff>
      <xdr:row>984</xdr:row>
      <xdr:rowOff>800100</xdr:rowOff>
    </xdr:to>
    <xdr:sp macro="" textlink="">
      <xdr:nvSpPr>
        <xdr:cNvPr id="1784" name="Имя " descr="Descr 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985</xdr:row>
      <xdr:rowOff>647700</xdr:rowOff>
    </xdr:from>
    <xdr:to>
      <xdr:col>3</xdr:col>
      <xdr:colOff>180975</xdr:colOff>
      <xdr:row>985</xdr:row>
      <xdr:rowOff>800100</xdr:rowOff>
    </xdr:to>
    <xdr:sp macro="" textlink="">
      <xdr:nvSpPr>
        <xdr:cNvPr id="1786" name="Имя " descr="Descr 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986</xdr:row>
      <xdr:rowOff>647700</xdr:rowOff>
    </xdr:from>
    <xdr:to>
      <xdr:col>3</xdr:col>
      <xdr:colOff>180975</xdr:colOff>
      <xdr:row>986</xdr:row>
      <xdr:rowOff>800100</xdr:rowOff>
    </xdr:to>
    <xdr:sp macro="" textlink="">
      <xdr:nvSpPr>
        <xdr:cNvPr id="1788" name="Имя " descr="Descr 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987</xdr:row>
      <xdr:rowOff>647700</xdr:rowOff>
    </xdr:from>
    <xdr:to>
      <xdr:col>3</xdr:col>
      <xdr:colOff>180975</xdr:colOff>
      <xdr:row>987</xdr:row>
      <xdr:rowOff>800100</xdr:rowOff>
    </xdr:to>
    <xdr:sp macro="" textlink="">
      <xdr:nvSpPr>
        <xdr:cNvPr id="1790" name="Имя " descr="Descr 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988</xdr:row>
      <xdr:rowOff>647700</xdr:rowOff>
    </xdr:from>
    <xdr:to>
      <xdr:col>3</xdr:col>
      <xdr:colOff>180975</xdr:colOff>
      <xdr:row>988</xdr:row>
      <xdr:rowOff>800100</xdr:rowOff>
    </xdr:to>
    <xdr:sp macro="" textlink="">
      <xdr:nvSpPr>
        <xdr:cNvPr id="1792" name="Имя " descr="Descr 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990</xdr:row>
      <xdr:rowOff>647700</xdr:rowOff>
    </xdr:from>
    <xdr:to>
      <xdr:col>3</xdr:col>
      <xdr:colOff>180975</xdr:colOff>
      <xdr:row>990</xdr:row>
      <xdr:rowOff>800100</xdr:rowOff>
    </xdr:to>
    <xdr:sp macro="" textlink="">
      <xdr:nvSpPr>
        <xdr:cNvPr id="1794" name="Имя " descr="Descr 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991</xdr:row>
      <xdr:rowOff>647700</xdr:rowOff>
    </xdr:from>
    <xdr:to>
      <xdr:col>3</xdr:col>
      <xdr:colOff>180975</xdr:colOff>
      <xdr:row>991</xdr:row>
      <xdr:rowOff>800100</xdr:rowOff>
    </xdr:to>
    <xdr:sp macro="" textlink="">
      <xdr:nvSpPr>
        <xdr:cNvPr id="1796" name="Имя " descr="Descr 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992</xdr:row>
      <xdr:rowOff>647700</xdr:rowOff>
    </xdr:from>
    <xdr:to>
      <xdr:col>3</xdr:col>
      <xdr:colOff>180975</xdr:colOff>
      <xdr:row>992</xdr:row>
      <xdr:rowOff>800100</xdr:rowOff>
    </xdr:to>
    <xdr:sp macro="" textlink="">
      <xdr:nvSpPr>
        <xdr:cNvPr id="1798" name="Имя " descr="Descr 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994</xdr:row>
      <xdr:rowOff>647700</xdr:rowOff>
    </xdr:from>
    <xdr:to>
      <xdr:col>3</xdr:col>
      <xdr:colOff>180975</xdr:colOff>
      <xdr:row>994</xdr:row>
      <xdr:rowOff>800100</xdr:rowOff>
    </xdr:to>
    <xdr:sp macro="" textlink="">
      <xdr:nvSpPr>
        <xdr:cNvPr id="1800" name="Имя " descr="Descr 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996</xdr:row>
      <xdr:rowOff>647700</xdr:rowOff>
    </xdr:from>
    <xdr:to>
      <xdr:col>3</xdr:col>
      <xdr:colOff>180975</xdr:colOff>
      <xdr:row>996</xdr:row>
      <xdr:rowOff>800100</xdr:rowOff>
    </xdr:to>
    <xdr:sp macro="" textlink="">
      <xdr:nvSpPr>
        <xdr:cNvPr id="1802" name="Имя " descr="Descr 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997</xdr:row>
      <xdr:rowOff>647700</xdr:rowOff>
    </xdr:from>
    <xdr:to>
      <xdr:col>3</xdr:col>
      <xdr:colOff>180975</xdr:colOff>
      <xdr:row>997</xdr:row>
      <xdr:rowOff>800100</xdr:rowOff>
    </xdr:to>
    <xdr:sp macro="" textlink="">
      <xdr:nvSpPr>
        <xdr:cNvPr id="1804" name="Имя " descr="Descr 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998</xdr:row>
      <xdr:rowOff>647700</xdr:rowOff>
    </xdr:from>
    <xdr:to>
      <xdr:col>3</xdr:col>
      <xdr:colOff>180975</xdr:colOff>
      <xdr:row>998</xdr:row>
      <xdr:rowOff>800100</xdr:rowOff>
    </xdr:to>
    <xdr:sp macro="" textlink="">
      <xdr:nvSpPr>
        <xdr:cNvPr id="1806" name="Имя " descr="Descr 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999</xdr:row>
      <xdr:rowOff>647700</xdr:rowOff>
    </xdr:from>
    <xdr:to>
      <xdr:col>3</xdr:col>
      <xdr:colOff>180975</xdr:colOff>
      <xdr:row>999</xdr:row>
      <xdr:rowOff>800100</xdr:rowOff>
    </xdr:to>
    <xdr:sp macro="" textlink="">
      <xdr:nvSpPr>
        <xdr:cNvPr id="1808" name="Имя " descr="Descr 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1001</xdr:row>
      <xdr:rowOff>647700</xdr:rowOff>
    </xdr:from>
    <xdr:to>
      <xdr:col>3</xdr:col>
      <xdr:colOff>180975</xdr:colOff>
      <xdr:row>1001</xdr:row>
      <xdr:rowOff>800100</xdr:rowOff>
    </xdr:to>
    <xdr:sp macro="" textlink="">
      <xdr:nvSpPr>
        <xdr:cNvPr id="1810" name="Имя " descr="Descr 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1002</xdr:row>
      <xdr:rowOff>647700</xdr:rowOff>
    </xdr:from>
    <xdr:to>
      <xdr:col>3</xdr:col>
      <xdr:colOff>180975</xdr:colOff>
      <xdr:row>1002</xdr:row>
      <xdr:rowOff>800100</xdr:rowOff>
    </xdr:to>
    <xdr:sp macro="" textlink="">
      <xdr:nvSpPr>
        <xdr:cNvPr id="1812" name="Имя " descr="Descr 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1003</xdr:row>
      <xdr:rowOff>647700</xdr:rowOff>
    </xdr:from>
    <xdr:to>
      <xdr:col>3</xdr:col>
      <xdr:colOff>180975</xdr:colOff>
      <xdr:row>1003</xdr:row>
      <xdr:rowOff>800100</xdr:rowOff>
    </xdr:to>
    <xdr:sp macro="" textlink="">
      <xdr:nvSpPr>
        <xdr:cNvPr id="1814" name="Имя " descr="Descr 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1004</xdr:row>
      <xdr:rowOff>647700</xdr:rowOff>
    </xdr:from>
    <xdr:to>
      <xdr:col>3</xdr:col>
      <xdr:colOff>180975</xdr:colOff>
      <xdr:row>1004</xdr:row>
      <xdr:rowOff>800100</xdr:rowOff>
    </xdr:to>
    <xdr:sp macro="" textlink="">
      <xdr:nvSpPr>
        <xdr:cNvPr id="1816" name="Имя " descr="Descr 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1005</xdr:row>
      <xdr:rowOff>647700</xdr:rowOff>
    </xdr:from>
    <xdr:to>
      <xdr:col>3</xdr:col>
      <xdr:colOff>180975</xdr:colOff>
      <xdr:row>1005</xdr:row>
      <xdr:rowOff>800100</xdr:rowOff>
    </xdr:to>
    <xdr:sp macro="" textlink="">
      <xdr:nvSpPr>
        <xdr:cNvPr id="1818" name="Имя " descr="Descr 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1006</xdr:row>
      <xdr:rowOff>647700</xdr:rowOff>
    </xdr:from>
    <xdr:to>
      <xdr:col>3</xdr:col>
      <xdr:colOff>180975</xdr:colOff>
      <xdr:row>1006</xdr:row>
      <xdr:rowOff>800100</xdr:rowOff>
    </xdr:to>
    <xdr:sp macro="" textlink="">
      <xdr:nvSpPr>
        <xdr:cNvPr id="1820" name="Имя " descr="Descr 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1007</xdr:row>
      <xdr:rowOff>647700</xdr:rowOff>
    </xdr:from>
    <xdr:to>
      <xdr:col>3</xdr:col>
      <xdr:colOff>180975</xdr:colOff>
      <xdr:row>1007</xdr:row>
      <xdr:rowOff>800100</xdr:rowOff>
    </xdr:to>
    <xdr:sp macro="" textlink="">
      <xdr:nvSpPr>
        <xdr:cNvPr id="1822" name="Имя " descr="Descr 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1008</xdr:row>
      <xdr:rowOff>647700</xdr:rowOff>
    </xdr:from>
    <xdr:to>
      <xdr:col>3</xdr:col>
      <xdr:colOff>180975</xdr:colOff>
      <xdr:row>1008</xdr:row>
      <xdr:rowOff>800100</xdr:rowOff>
    </xdr:to>
    <xdr:sp macro="" textlink="">
      <xdr:nvSpPr>
        <xdr:cNvPr id="1824" name="Имя " descr="Descr 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1009</xdr:row>
      <xdr:rowOff>647700</xdr:rowOff>
    </xdr:from>
    <xdr:to>
      <xdr:col>3</xdr:col>
      <xdr:colOff>180975</xdr:colOff>
      <xdr:row>1009</xdr:row>
      <xdr:rowOff>800100</xdr:rowOff>
    </xdr:to>
    <xdr:sp macro="" textlink="">
      <xdr:nvSpPr>
        <xdr:cNvPr id="1826" name="Имя " descr="Descr 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1010</xdr:row>
      <xdr:rowOff>647700</xdr:rowOff>
    </xdr:from>
    <xdr:to>
      <xdr:col>3</xdr:col>
      <xdr:colOff>180975</xdr:colOff>
      <xdr:row>1010</xdr:row>
      <xdr:rowOff>800100</xdr:rowOff>
    </xdr:to>
    <xdr:sp macro="" textlink="">
      <xdr:nvSpPr>
        <xdr:cNvPr id="1828" name="Имя " descr="Descr 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1011</xdr:row>
      <xdr:rowOff>647700</xdr:rowOff>
    </xdr:from>
    <xdr:to>
      <xdr:col>3</xdr:col>
      <xdr:colOff>180975</xdr:colOff>
      <xdr:row>1011</xdr:row>
      <xdr:rowOff>800100</xdr:rowOff>
    </xdr:to>
    <xdr:sp macro="" textlink="">
      <xdr:nvSpPr>
        <xdr:cNvPr id="1830" name="Имя " descr="Descr 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1012</xdr:row>
      <xdr:rowOff>647700</xdr:rowOff>
    </xdr:from>
    <xdr:to>
      <xdr:col>3</xdr:col>
      <xdr:colOff>180975</xdr:colOff>
      <xdr:row>1012</xdr:row>
      <xdr:rowOff>800100</xdr:rowOff>
    </xdr:to>
    <xdr:sp macro="" textlink="">
      <xdr:nvSpPr>
        <xdr:cNvPr id="1832" name="Имя " descr="Descr 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1013</xdr:row>
      <xdr:rowOff>647700</xdr:rowOff>
    </xdr:from>
    <xdr:to>
      <xdr:col>3</xdr:col>
      <xdr:colOff>180975</xdr:colOff>
      <xdr:row>1013</xdr:row>
      <xdr:rowOff>800100</xdr:rowOff>
    </xdr:to>
    <xdr:sp macro="" textlink="">
      <xdr:nvSpPr>
        <xdr:cNvPr id="1834" name="Имя " descr="Descr 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1014</xdr:row>
      <xdr:rowOff>647700</xdr:rowOff>
    </xdr:from>
    <xdr:to>
      <xdr:col>3</xdr:col>
      <xdr:colOff>180975</xdr:colOff>
      <xdr:row>1014</xdr:row>
      <xdr:rowOff>800100</xdr:rowOff>
    </xdr:to>
    <xdr:sp macro="" textlink="">
      <xdr:nvSpPr>
        <xdr:cNvPr id="1836" name="Имя " descr="Descr 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1015</xdr:row>
      <xdr:rowOff>647700</xdr:rowOff>
    </xdr:from>
    <xdr:to>
      <xdr:col>3</xdr:col>
      <xdr:colOff>180975</xdr:colOff>
      <xdr:row>1015</xdr:row>
      <xdr:rowOff>800100</xdr:rowOff>
    </xdr:to>
    <xdr:sp macro="" textlink="">
      <xdr:nvSpPr>
        <xdr:cNvPr id="1838" name="Имя " descr="Descr 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1016</xdr:row>
      <xdr:rowOff>647700</xdr:rowOff>
    </xdr:from>
    <xdr:to>
      <xdr:col>3</xdr:col>
      <xdr:colOff>180975</xdr:colOff>
      <xdr:row>1016</xdr:row>
      <xdr:rowOff>800100</xdr:rowOff>
    </xdr:to>
    <xdr:sp macro="" textlink="">
      <xdr:nvSpPr>
        <xdr:cNvPr id="1840" name="Имя " descr="Descr 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1017</xdr:row>
      <xdr:rowOff>647700</xdr:rowOff>
    </xdr:from>
    <xdr:to>
      <xdr:col>3</xdr:col>
      <xdr:colOff>180975</xdr:colOff>
      <xdr:row>1017</xdr:row>
      <xdr:rowOff>800100</xdr:rowOff>
    </xdr:to>
    <xdr:sp macro="" textlink="">
      <xdr:nvSpPr>
        <xdr:cNvPr id="1842" name="Имя " descr="Descr 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1018</xdr:row>
      <xdr:rowOff>647700</xdr:rowOff>
    </xdr:from>
    <xdr:to>
      <xdr:col>3</xdr:col>
      <xdr:colOff>180975</xdr:colOff>
      <xdr:row>1018</xdr:row>
      <xdr:rowOff>800100</xdr:rowOff>
    </xdr:to>
    <xdr:sp macro="" textlink="">
      <xdr:nvSpPr>
        <xdr:cNvPr id="1844" name="Имя " descr="Descr 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1019</xdr:row>
      <xdr:rowOff>647700</xdr:rowOff>
    </xdr:from>
    <xdr:to>
      <xdr:col>3</xdr:col>
      <xdr:colOff>180975</xdr:colOff>
      <xdr:row>1019</xdr:row>
      <xdr:rowOff>800100</xdr:rowOff>
    </xdr:to>
    <xdr:sp macro="" textlink="">
      <xdr:nvSpPr>
        <xdr:cNvPr id="1846" name="Имя " descr="Descr 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1020</xdr:row>
      <xdr:rowOff>647700</xdr:rowOff>
    </xdr:from>
    <xdr:to>
      <xdr:col>3</xdr:col>
      <xdr:colOff>180975</xdr:colOff>
      <xdr:row>1020</xdr:row>
      <xdr:rowOff>800100</xdr:rowOff>
    </xdr:to>
    <xdr:sp macro="" textlink="">
      <xdr:nvSpPr>
        <xdr:cNvPr id="1848" name="Имя " descr="Descr 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1021</xdr:row>
      <xdr:rowOff>647700</xdr:rowOff>
    </xdr:from>
    <xdr:to>
      <xdr:col>3</xdr:col>
      <xdr:colOff>180975</xdr:colOff>
      <xdr:row>1021</xdr:row>
      <xdr:rowOff>800100</xdr:rowOff>
    </xdr:to>
    <xdr:sp macro="" textlink="">
      <xdr:nvSpPr>
        <xdr:cNvPr id="1850" name="Имя " descr="Descr 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1022</xdr:row>
      <xdr:rowOff>647700</xdr:rowOff>
    </xdr:from>
    <xdr:to>
      <xdr:col>3</xdr:col>
      <xdr:colOff>180975</xdr:colOff>
      <xdr:row>1022</xdr:row>
      <xdr:rowOff>800100</xdr:rowOff>
    </xdr:to>
    <xdr:sp macro="" textlink="">
      <xdr:nvSpPr>
        <xdr:cNvPr id="1852" name="Имя " descr="Descr 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1023</xdr:row>
      <xdr:rowOff>647700</xdr:rowOff>
    </xdr:from>
    <xdr:to>
      <xdr:col>3</xdr:col>
      <xdr:colOff>180975</xdr:colOff>
      <xdr:row>1023</xdr:row>
      <xdr:rowOff>800100</xdr:rowOff>
    </xdr:to>
    <xdr:sp macro="" textlink="">
      <xdr:nvSpPr>
        <xdr:cNvPr id="1854" name="Имя " descr="Descr 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1026</xdr:row>
      <xdr:rowOff>647700</xdr:rowOff>
    </xdr:from>
    <xdr:to>
      <xdr:col>3</xdr:col>
      <xdr:colOff>180975</xdr:colOff>
      <xdr:row>1026</xdr:row>
      <xdr:rowOff>800100</xdr:rowOff>
    </xdr:to>
    <xdr:sp macro="" textlink="">
      <xdr:nvSpPr>
        <xdr:cNvPr id="1856" name="Имя " descr="Descr 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1027</xdr:row>
      <xdr:rowOff>647700</xdr:rowOff>
    </xdr:from>
    <xdr:to>
      <xdr:col>3</xdr:col>
      <xdr:colOff>180975</xdr:colOff>
      <xdr:row>1027</xdr:row>
      <xdr:rowOff>800100</xdr:rowOff>
    </xdr:to>
    <xdr:sp macro="" textlink="">
      <xdr:nvSpPr>
        <xdr:cNvPr id="1858" name="Имя " descr="Descr 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1028</xdr:row>
      <xdr:rowOff>647700</xdr:rowOff>
    </xdr:from>
    <xdr:to>
      <xdr:col>3</xdr:col>
      <xdr:colOff>180975</xdr:colOff>
      <xdr:row>1028</xdr:row>
      <xdr:rowOff>800100</xdr:rowOff>
    </xdr:to>
    <xdr:sp macro="" textlink="">
      <xdr:nvSpPr>
        <xdr:cNvPr id="1860" name="Имя " descr="Descr 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1029</xdr:row>
      <xdr:rowOff>647700</xdr:rowOff>
    </xdr:from>
    <xdr:to>
      <xdr:col>3</xdr:col>
      <xdr:colOff>180975</xdr:colOff>
      <xdr:row>1029</xdr:row>
      <xdr:rowOff>800100</xdr:rowOff>
    </xdr:to>
    <xdr:sp macro="" textlink="">
      <xdr:nvSpPr>
        <xdr:cNvPr id="1862" name="Имя " descr="Descr 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1030</xdr:row>
      <xdr:rowOff>647700</xdr:rowOff>
    </xdr:from>
    <xdr:to>
      <xdr:col>3</xdr:col>
      <xdr:colOff>180975</xdr:colOff>
      <xdr:row>1030</xdr:row>
      <xdr:rowOff>800100</xdr:rowOff>
    </xdr:to>
    <xdr:sp macro="" textlink="">
      <xdr:nvSpPr>
        <xdr:cNvPr id="1864" name="Имя " descr="Descr 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1031</xdr:row>
      <xdr:rowOff>647700</xdr:rowOff>
    </xdr:from>
    <xdr:to>
      <xdr:col>3</xdr:col>
      <xdr:colOff>180975</xdr:colOff>
      <xdr:row>1031</xdr:row>
      <xdr:rowOff>800100</xdr:rowOff>
    </xdr:to>
    <xdr:sp macro="" textlink="">
      <xdr:nvSpPr>
        <xdr:cNvPr id="1866" name="Имя " descr="Descr 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1032</xdr:row>
      <xdr:rowOff>647700</xdr:rowOff>
    </xdr:from>
    <xdr:to>
      <xdr:col>3</xdr:col>
      <xdr:colOff>180975</xdr:colOff>
      <xdr:row>1032</xdr:row>
      <xdr:rowOff>800100</xdr:rowOff>
    </xdr:to>
    <xdr:sp macro="" textlink="">
      <xdr:nvSpPr>
        <xdr:cNvPr id="1868" name="Имя " descr="Descr 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1033</xdr:row>
      <xdr:rowOff>647700</xdr:rowOff>
    </xdr:from>
    <xdr:to>
      <xdr:col>3</xdr:col>
      <xdr:colOff>180975</xdr:colOff>
      <xdr:row>1033</xdr:row>
      <xdr:rowOff>800100</xdr:rowOff>
    </xdr:to>
    <xdr:sp macro="" textlink="">
      <xdr:nvSpPr>
        <xdr:cNvPr id="1870" name="Имя " descr="Descr 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1034</xdr:row>
      <xdr:rowOff>647700</xdr:rowOff>
    </xdr:from>
    <xdr:to>
      <xdr:col>3</xdr:col>
      <xdr:colOff>180975</xdr:colOff>
      <xdr:row>1034</xdr:row>
      <xdr:rowOff>800100</xdr:rowOff>
    </xdr:to>
    <xdr:sp macro="" textlink="">
      <xdr:nvSpPr>
        <xdr:cNvPr id="1872" name="Имя " descr="Descr 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1035</xdr:row>
      <xdr:rowOff>647700</xdr:rowOff>
    </xdr:from>
    <xdr:to>
      <xdr:col>3</xdr:col>
      <xdr:colOff>180975</xdr:colOff>
      <xdr:row>1035</xdr:row>
      <xdr:rowOff>800100</xdr:rowOff>
    </xdr:to>
    <xdr:sp macro="" textlink="">
      <xdr:nvSpPr>
        <xdr:cNvPr id="1874" name="Имя " descr="Descr 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1036</xdr:row>
      <xdr:rowOff>647700</xdr:rowOff>
    </xdr:from>
    <xdr:to>
      <xdr:col>3</xdr:col>
      <xdr:colOff>180975</xdr:colOff>
      <xdr:row>1036</xdr:row>
      <xdr:rowOff>800100</xdr:rowOff>
    </xdr:to>
    <xdr:sp macro="" textlink="">
      <xdr:nvSpPr>
        <xdr:cNvPr id="1876" name="Имя " descr="Descr 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1037</xdr:row>
      <xdr:rowOff>647700</xdr:rowOff>
    </xdr:from>
    <xdr:to>
      <xdr:col>3</xdr:col>
      <xdr:colOff>180975</xdr:colOff>
      <xdr:row>1037</xdr:row>
      <xdr:rowOff>800100</xdr:rowOff>
    </xdr:to>
    <xdr:sp macro="" textlink="">
      <xdr:nvSpPr>
        <xdr:cNvPr id="1878" name="Имя " descr="Descr 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1039</xdr:row>
      <xdr:rowOff>647700</xdr:rowOff>
    </xdr:from>
    <xdr:to>
      <xdr:col>3</xdr:col>
      <xdr:colOff>180975</xdr:colOff>
      <xdr:row>1039</xdr:row>
      <xdr:rowOff>800100</xdr:rowOff>
    </xdr:to>
    <xdr:sp macro="" textlink="">
      <xdr:nvSpPr>
        <xdr:cNvPr id="1880" name="Имя " descr="Descr 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1040</xdr:row>
      <xdr:rowOff>647700</xdr:rowOff>
    </xdr:from>
    <xdr:to>
      <xdr:col>3</xdr:col>
      <xdr:colOff>180975</xdr:colOff>
      <xdr:row>1040</xdr:row>
      <xdr:rowOff>800100</xdr:rowOff>
    </xdr:to>
    <xdr:sp macro="" textlink="">
      <xdr:nvSpPr>
        <xdr:cNvPr id="1882" name="Имя " descr="Descr 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1041</xdr:row>
      <xdr:rowOff>647700</xdr:rowOff>
    </xdr:from>
    <xdr:to>
      <xdr:col>3</xdr:col>
      <xdr:colOff>180975</xdr:colOff>
      <xdr:row>1041</xdr:row>
      <xdr:rowOff>800100</xdr:rowOff>
    </xdr:to>
    <xdr:sp macro="" textlink="">
      <xdr:nvSpPr>
        <xdr:cNvPr id="1884" name="Имя " descr="Descr 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1042</xdr:row>
      <xdr:rowOff>647700</xdr:rowOff>
    </xdr:from>
    <xdr:to>
      <xdr:col>3</xdr:col>
      <xdr:colOff>180975</xdr:colOff>
      <xdr:row>1042</xdr:row>
      <xdr:rowOff>800100</xdr:rowOff>
    </xdr:to>
    <xdr:sp macro="" textlink="">
      <xdr:nvSpPr>
        <xdr:cNvPr id="1886" name="Имя " descr="Descr 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1043</xdr:row>
      <xdr:rowOff>647700</xdr:rowOff>
    </xdr:from>
    <xdr:to>
      <xdr:col>3</xdr:col>
      <xdr:colOff>180975</xdr:colOff>
      <xdr:row>1043</xdr:row>
      <xdr:rowOff>800100</xdr:rowOff>
    </xdr:to>
    <xdr:sp macro="" textlink="">
      <xdr:nvSpPr>
        <xdr:cNvPr id="1888" name="Имя " descr="Descr 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1044</xdr:row>
      <xdr:rowOff>647700</xdr:rowOff>
    </xdr:from>
    <xdr:to>
      <xdr:col>3</xdr:col>
      <xdr:colOff>180975</xdr:colOff>
      <xdr:row>1044</xdr:row>
      <xdr:rowOff>800100</xdr:rowOff>
    </xdr:to>
    <xdr:sp macro="" textlink="">
      <xdr:nvSpPr>
        <xdr:cNvPr id="1890" name="Имя " descr="Descr 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1045</xdr:row>
      <xdr:rowOff>647700</xdr:rowOff>
    </xdr:from>
    <xdr:to>
      <xdr:col>3</xdr:col>
      <xdr:colOff>180975</xdr:colOff>
      <xdr:row>1045</xdr:row>
      <xdr:rowOff>800100</xdr:rowOff>
    </xdr:to>
    <xdr:sp macro="" textlink="">
      <xdr:nvSpPr>
        <xdr:cNvPr id="1892" name="Имя " descr="Descr 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1046</xdr:row>
      <xdr:rowOff>647700</xdr:rowOff>
    </xdr:from>
    <xdr:to>
      <xdr:col>3</xdr:col>
      <xdr:colOff>180975</xdr:colOff>
      <xdr:row>1046</xdr:row>
      <xdr:rowOff>800100</xdr:rowOff>
    </xdr:to>
    <xdr:sp macro="" textlink="">
      <xdr:nvSpPr>
        <xdr:cNvPr id="1894" name="Имя " descr="Descr 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1048</xdr:row>
      <xdr:rowOff>647700</xdr:rowOff>
    </xdr:from>
    <xdr:to>
      <xdr:col>3</xdr:col>
      <xdr:colOff>180975</xdr:colOff>
      <xdr:row>1048</xdr:row>
      <xdr:rowOff>800100</xdr:rowOff>
    </xdr:to>
    <xdr:sp macro="" textlink="">
      <xdr:nvSpPr>
        <xdr:cNvPr id="1896" name="Имя " descr="Descr 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1049</xdr:row>
      <xdr:rowOff>647700</xdr:rowOff>
    </xdr:from>
    <xdr:to>
      <xdr:col>3</xdr:col>
      <xdr:colOff>180975</xdr:colOff>
      <xdr:row>1049</xdr:row>
      <xdr:rowOff>800100</xdr:rowOff>
    </xdr:to>
    <xdr:sp macro="" textlink="">
      <xdr:nvSpPr>
        <xdr:cNvPr id="1898" name="Имя " descr="Descr 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1050</xdr:row>
      <xdr:rowOff>647700</xdr:rowOff>
    </xdr:from>
    <xdr:to>
      <xdr:col>3</xdr:col>
      <xdr:colOff>180975</xdr:colOff>
      <xdr:row>1050</xdr:row>
      <xdr:rowOff>800100</xdr:rowOff>
    </xdr:to>
    <xdr:sp macro="" textlink="">
      <xdr:nvSpPr>
        <xdr:cNvPr id="1900" name="Имя " descr="Descr 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1051</xdr:row>
      <xdr:rowOff>647700</xdr:rowOff>
    </xdr:from>
    <xdr:to>
      <xdr:col>3</xdr:col>
      <xdr:colOff>180975</xdr:colOff>
      <xdr:row>1051</xdr:row>
      <xdr:rowOff>800100</xdr:rowOff>
    </xdr:to>
    <xdr:sp macro="" textlink="">
      <xdr:nvSpPr>
        <xdr:cNvPr id="1902" name="Имя " descr="Descr 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1052</xdr:row>
      <xdr:rowOff>647700</xdr:rowOff>
    </xdr:from>
    <xdr:to>
      <xdr:col>3</xdr:col>
      <xdr:colOff>180975</xdr:colOff>
      <xdr:row>1052</xdr:row>
      <xdr:rowOff>800100</xdr:rowOff>
    </xdr:to>
    <xdr:sp macro="" textlink="">
      <xdr:nvSpPr>
        <xdr:cNvPr id="1904" name="Имя " descr="Descr 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1053</xdr:row>
      <xdr:rowOff>647700</xdr:rowOff>
    </xdr:from>
    <xdr:to>
      <xdr:col>3</xdr:col>
      <xdr:colOff>180975</xdr:colOff>
      <xdr:row>1053</xdr:row>
      <xdr:rowOff>800100</xdr:rowOff>
    </xdr:to>
    <xdr:sp macro="" textlink="">
      <xdr:nvSpPr>
        <xdr:cNvPr id="1906" name="Имя " descr="Descr 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1054</xdr:row>
      <xdr:rowOff>647700</xdr:rowOff>
    </xdr:from>
    <xdr:to>
      <xdr:col>3</xdr:col>
      <xdr:colOff>180975</xdr:colOff>
      <xdr:row>1054</xdr:row>
      <xdr:rowOff>800100</xdr:rowOff>
    </xdr:to>
    <xdr:sp macro="" textlink="">
      <xdr:nvSpPr>
        <xdr:cNvPr id="1908" name="Имя " descr="Descr 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1055</xdr:row>
      <xdr:rowOff>647700</xdr:rowOff>
    </xdr:from>
    <xdr:to>
      <xdr:col>3</xdr:col>
      <xdr:colOff>180975</xdr:colOff>
      <xdr:row>1055</xdr:row>
      <xdr:rowOff>800100</xdr:rowOff>
    </xdr:to>
    <xdr:sp macro="" textlink="">
      <xdr:nvSpPr>
        <xdr:cNvPr id="1910" name="Имя " descr="Descr 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1056</xdr:row>
      <xdr:rowOff>647700</xdr:rowOff>
    </xdr:from>
    <xdr:to>
      <xdr:col>3</xdr:col>
      <xdr:colOff>180975</xdr:colOff>
      <xdr:row>1056</xdr:row>
      <xdr:rowOff>800100</xdr:rowOff>
    </xdr:to>
    <xdr:sp macro="" textlink="">
      <xdr:nvSpPr>
        <xdr:cNvPr id="1912" name="Имя " descr="Descr 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1057</xdr:row>
      <xdr:rowOff>647700</xdr:rowOff>
    </xdr:from>
    <xdr:to>
      <xdr:col>3</xdr:col>
      <xdr:colOff>180975</xdr:colOff>
      <xdr:row>1057</xdr:row>
      <xdr:rowOff>800100</xdr:rowOff>
    </xdr:to>
    <xdr:sp macro="" textlink="">
      <xdr:nvSpPr>
        <xdr:cNvPr id="1914" name="Имя " descr="Descr 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1058</xdr:row>
      <xdr:rowOff>647700</xdr:rowOff>
    </xdr:from>
    <xdr:to>
      <xdr:col>3</xdr:col>
      <xdr:colOff>180975</xdr:colOff>
      <xdr:row>1058</xdr:row>
      <xdr:rowOff>800100</xdr:rowOff>
    </xdr:to>
    <xdr:sp macro="" textlink="">
      <xdr:nvSpPr>
        <xdr:cNvPr id="1916" name="Имя " descr="Descr 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1059</xdr:row>
      <xdr:rowOff>647700</xdr:rowOff>
    </xdr:from>
    <xdr:to>
      <xdr:col>3</xdr:col>
      <xdr:colOff>180975</xdr:colOff>
      <xdr:row>1059</xdr:row>
      <xdr:rowOff>800100</xdr:rowOff>
    </xdr:to>
    <xdr:sp macro="" textlink="">
      <xdr:nvSpPr>
        <xdr:cNvPr id="1918" name="Имя " descr="Descr 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1060</xdr:row>
      <xdr:rowOff>647700</xdr:rowOff>
    </xdr:from>
    <xdr:to>
      <xdr:col>3</xdr:col>
      <xdr:colOff>180975</xdr:colOff>
      <xdr:row>1060</xdr:row>
      <xdr:rowOff>800100</xdr:rowOff>
    </xdr:to>
    <xdr:sp macro="" textlink="">
      <xdr:nvSpPr>
        <xdr:cNvPr id="1920" name="Имя " descr="Descr 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1061</xdr:row>
      <xdr:rowOff>647700</xdr:rowOff>
    </xdr:from>
    <xdr:to>
      <xdr:col>3</xdr:col>
      <xdr:colOff>180975</xdr:colOff>
      <xdr:row>1061</xdr:row>
      <xdr:rowOff>800100</xdr:rowOff>
    </xdr:to>
    <xdr:sp macro="" textlink="">
      <xdr:nvSpPr>
        <xdr:cNvPr id="1922" name="Имя " descr="Descr 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1062</xdr:row>
      <xdr:rowOff>647700</xdr:rowOff>
    </xdr:from>
    <xdr:to>
      <xdr:col>3</xdr:col>
      <xdr:colOff>180975</xdr:colOff>
      <xdr:row>1062</xdr:row>
      <xdr:rowOff>800100</xdr:rowOff>
    </xdr:to>
    <xdr:sp macro="" textlink="">
      <xdr:nvSpPr>
        <xdr:cNvPr id="1924" name="Имя " descr="Descr 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1063</xdr:row>
      <xdr:rowOff>647700</xdr:rowOff>
    </xdr:from>
    <xdr:to>
      <xdr:col>3</xdr:col>
      <xdr:colOff>180975</xdr:colOff>
      <xdr:row>1063</xdr:row>
      <xdr:rowOff>800100</xdr:rowOff>
    </xdr:to>
    <xdr:sp macro="" textlink="">
      <xdr:nvSpPr>
        <xdr:cNvPr id="1926" name="Имя " descr="Descr 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1064</xdr:row>
      <xdr:rowOff>647700</xdr:rowOff>
    </xdr:from>
    <xdr:to>
      <xdr:col>3</xdr:col>
      <xdr:colOff>180975</xdr:colOff>
      <xdr:row>1064</xdr:row>
      <xdr:rowOff>800100</xdr:rowOff>
    </xdr:to>
    <xdr:sp macro="" textlink="">
      <xdr:nvSpPr>
        <xdr:cNvPr id="1928" name="Имя " descr="Descr 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1065</xdr:row>
      <xdr:rowOff>647700</xdr:rowOff>
    </xdr:from>
    <xdr:to>
      <xdr:col>3</xdr:col>
      <xdr:colOff>180975</xdr:colOff>
      <xdr:row>1065</xdr:row>
      <xdr:rowOff>800100</xdr:rowOff>
    </xdr:to>
    <xdr:sp macro="" textlink="">
      <xdr:nvSpPr>
        <xdr:cNvPr id="1930" name="Имя " descr="Descr 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1066</xdr:row>
      <xdr:rowOff>647700</xdr:rowOff>
    </xdr:from>
    <xdr:to>
      <xdr:col>3</xdr:col>
      <xdr:colOff>180975</xdr:colOff>
      <xdr:row>1066</xdr:row>
      <xdr:rowOff>800100</xdr:rowOff>
    </xdr:to>
    <xdr:sp macro="" textlink="">
      <xdr:nvSpPr>
        <xdr:cNvPr id="1932" name="Имя " descr="Descr 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1067</xdr:row>
      <xdr:rowOff>647700</xdr:rowOff>
    </xdr:from>
    <xdr:to>
      <xdr:col>3</xdr:col>
      <xdr:colOff>180975</xdr:colOff>
      <xdr:row>1067</xdr:row>
      <xdr:rowOff>800100</xdr:rowOff>
    </xdr:to>
    <xdr:sp macro="" textlink="">
      <xdr:nvSpPr>
        <xdr:cNvPr id="1934" name="Имя " descr="Descr 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1068</xdr:row>
      <xdr:rowOff>647700</xdr:rowOff>
    </xdr:from>
    <xdr:to>
      <xdr:col>3</xdr:col>
      <xdr:colOff>180975</xdr:colOff>
      <xdr:row>1068</xdr:row>
      <xdr:rowOff>800100</xdr:rowOff>
    </xdr:to>
    <xdr:sp macro="" textlink="">
      <xdr:nvSpPr>
        <xdr:cNvPr id="1936" name="Имя " descr="Descr 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1069</xdr:row>
      <xdr:rowOff>647700</xdr:rowOff>
    </xdr:from>
    <xdr:to>
      <xdr:col>3</xdr:col>
      <xdr:colOff>180975</xdr:colOff>
      <xdr:row>1069</xdr:row>
      <xdr:rowOff>800100</xdr:rowOff>
    </xdr:to>
    <xdr:sp macro="" textlink="">
      <xdr:nvSpPr>
        <xdr:cNvPr id="1938" name="Имя " descr="Descr 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1070</xdr:row>
      <xdr:rowOff>647700</xdr:rowOff>
    </xdr:from>
    <xdr:to>
      <xdr:col>3</xdr:col>
      <xdr:colOff>180975</xdr:colOff>
      <xdr:row>1070</xdr:row>
      <xdr:rowOff>800100</xdr:rowOff>
    </xdr:to>
    <xdr:sp macro="" textlink="">
      <xdr:nvSpPr>
        <xdr:cNvPr id="1940" name="Имя " descr="Descr 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1071</xdr:row>
      <xdr:rowOff>647700</xdr:rowOff>
    </xdr:from>
    <xdr:to>
      <xdr:col>3</xdr:col>
      <xdr:colOff>180975</xdr:colOff>
      <xdr:row>1071</xdr:row>
      <xdr:rowOff>800100</xdr:rowOff>
    </xdr:to>
    <xdr:sp macro="" textlink="">
      <xdr:nvSpPr>
        <xdr:cNvPr id="1942" name="Имя " descr="Descr 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1072</xdr:row>
      <xdr:rowOff>647700</xdr:rowOff>
    </xdr:from>
    <xdr:to>
      <xdr:col>3</xdr:col>
      <xdr:colOff>180975</xdr:colOff>
      <xdr:row>1072</xdr:row>
      <xdr:rowOff>800100</xdr:rowOff>
    </xdr:to>
    <xdr:sp macro="" textlink="">
      <xdr:nvSpPr>
        <xdr:cNvPr id="1944" name="Имя " descr="Descr 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1073</xdr:row>
      <xdr:rowOff>647700</xdr:rowOff>
    </xdr:from>
    <xdr:to>
      <xdr:col>3</xdr:col>
      <xdr:colOff>180975</xdr:colOff>
      <xdr:row>1073</xdr:row>
      <xdr:rowOff>800100</xdr:rowOff>
    </xdr:to>
    <xdr:sp macro="" textlink="">
      <xdr:nvSpPr>
        <xdr:cNvPr id="1946" name="Имя " descr="Descr 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1074</xdr:row>
      <xdr:rowOff>647700</xdr:rowOff>
    </xdr:from>
    <xdr:to>
      <xdr:col>3</xdr:col>
      <xdr:colOff>180975</xdr:colOff>
      <xdr:row>1074</xdr:row>
      <xdr:rowOff>800100</xdr:rowOff>
    </xdr:to>
    <xdr:sp macro="" textlink="">
      <xdr:nvSpPr>
        <xdr:cNvPr id="1948" name="Имя " descr="Descr 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1075</xdr:row>
      <xdr:rowOff>647700</xdr:rowOff>
    </xdr:from>
    <xdr:to>
      <xdr:col>3</xdr:col>
      <xdr:colOff>180975</xdr:colOff>
      <xdr:row>1075</xdr:row>
      <xdr:rowOff>800100</xdr:rowOff>
    </xdr:to>
    <xdr:sp macro="" textlink="">
      <xdr:nvSpPr>
        <xdr:cNvPr id="1950" name="Имя " descr="Descr 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1076</xdr:row>
      <xdr:rowOff>647700</xdr:rowOff>
    </xdr:from>
    <xdr:to>
      <xdr:col>3</xdr:col>
      <xdr:colOff>180975</xdr:colOff>
      <xdr:row>1076</xdr:row>
      <xdr:rowOff>800100</xdr:rowOff>
    </xdr:to>
    <xdr:sp macro="" textlink="">
      <xdr:nvSpPr>
        <xdr:cNvPr id="1952" name="Имя " descr="Descr 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1077</xdr:row>
      <xdr:rowOff>647700</xdr:rowOff>
    </xdr:from>
    <xdr:to>
      <xdr:col>3</xdr:col>
      <xdr:colOff>180975</xdr:colOff>
      <xdr:row>1077</xdr:row>
      <xdr:rowOff>800100</xdr:rowOff>
    </xdr:to>
    <xdr:sp macro="" textlink="">
      <xdr:nvSpPr>
        <xdr:cNvPr id="1954" name="Имя " descr="Descr 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1078</xdr:row>
      <xdr:rowOff>647700</xdr:rowOff>
    </xdr:from>
    <xdr:to>
      <xdr:col>3</xdr:col>
      <xdr:colOff>180975</xdr:colOff>
      <xdr:row>1078</xdr:row>
      <xdr:rowOff>800100</xdr:rowOff>
    </xdr:to>
    <xdr:sp macro="" textlink="">
      <xdr:nvSpPr>
        <xdr:cNvPr id="1956" name="Имя " descr="Descr 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1079</xdr:row>
      <xdr:rowOff>647700</xdr:rowOff>
    </xdr:from>
    <xdr:to>
      <xdr:col>3</xdr:col>
      <xdr:colOff>180975</xdr:colOff>
      <xdr:row>1079</xdr:row>
      <xdr:rowOff>800100</xdr:rowOff>
    </xdr:to>
    <xdr:sp macro="" textlink="">
      <xdr:nvSpPr>
        <xdr:cNvPr id="1958" name="Имя " descr="Descr 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1080</xdr:row>
      <xdr:rowOff>647700</xdr:rowOff>
    </xdr:from>
    <xdr:to>
      <xdr:col>3</xdr:col>
      <xdr:colOff>180975</xdr:colOff>
      <xdr:row>1080</xdr:row>
      <xdr:rowOff>800100</xdr:rowOff>
    </xdr:to>
    <xdr:sp macro="" textlink="">
      <xdr:nvSpPr>
        <xdr:cNvPr id="1960" name="Имя " descr="Descr 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1081</xdr:row>
      <xdr:rowOff>647700</xdr:rowOff>
    </xdr:from>
    <xdr:to>
      <xdr:col>3</xdr:col>
      <xdr:colOff>180975</xdr:colOff>
      <xdr:row>1081</xdr:row>
      <xdr:rowOff>800100</xdr:rowOff>
    </xdr:to>
    <xdr:sp macro="" textlink="">
      <xdr:nvSpPr>
        <xdr:cNvPr id="1962" name="Имя " descr="Descr 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1082</xdr:row>
      <xdr:rowOff>647700</xdr:rowOff>
    </xdr:from>
    <xdr:to>
      <xdr:col>3</xdr:col>
      <xdr:colOff>180975</xdr:colOff>
      <xdr:row>1082</xdr:row>
      <xdr:rowOff>800100</xdr:rowOff>
    </xdr:to>
    <xdr:sp macro="" textlink="">
      <xdr:nvSpPr>
        <xdr:cNvPr id="1964" name="Имя " descr="Descr 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1083</xdr:row>
      <xdr:rowOff>647700</xdr:rowOff>
    </xdr:from>
    <xdr:to>
      <xdr:col>3</xdr:col>
      <xdr:colOff>180975</xdr:colOff>
      <xdr:row>1083</xdr:row>
      <xdr:rowOff>800100</xdr:rowOff>
    </xdr:to>
    <xdr:sp macro="" textlink="">
      <xdr:nvSpPr>
        <xdr:cNvPr id="1966" name="Имя " descr="Descr 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1084</xdr:row>
      <xdr:rowOff>647700</xdr:rowOff>
    </xdr:from>
    <xdr:to>
      <xdr:col>3</xdr:col>
      <xdr:colOff>180975</xdr:colOff>
      <xdr:row>1084</xdr:row>
      <xdr:rowOff>800100</xdr:rowOff>
    </xdr:to>
    <xdr:sp macro="" textlink="">
      <xdr:nvSpPr>
        <xdr:cNvPr id="1968" name="Имя " descr="Descr 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1085</xdr:row>
      <xdr:rowOff>647700</xdr:rowOff>
    </xdr:from>
    <xdr:to>
      <xdr:col>3</xdr:col>
      <xdr:colOff>180975</xdr:colOff>
      <xdr:row>1085</xdr:row>
      <xdr:rowOff>800100</xdr:rowOff>
    </xdr:to>
    <xdr:sp macro="" textlink="">
      <xdr:nvSpPr>
        <xdr:cNvPr id="1970" name="Имя " descr="Descr 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1086</xdr:row>
      <xdr:rowOff>647700</xdr:rowOff>
    </xdr:from>
    <xdr:to>
      <xdr:col>3</xdr:col>
      <xdr:colOff>180975</xdr:colOff>
      <xdr:row>1086</xdr:row>
      <xdr:rowOff>800100</xdr:rowOff>
    </xdr:to>
    <xdr:sp macro="" textlink="">
      <xdr:nvSpPr>
        <xdr:cNvPr id="1972" name="Имя " descr="Descr 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1087</xdr:row>
      <xdr:rowOff>647700</xdr:rowOff>
    </xdr:from>
    <xdr:to>
      <xdr:col>3</xdr:col>
      <xdr:colOff>180975</xdr:colOff>
      <xdr:row>1087</xdr:row>
      <xdr:rowOff>800100</xdr:rowOff>
    </xdr:to>
    <xdr:sp macro="" textlink="">
      <xdr:nvSpPr>
        <xdr:cNvPr id="1974" name="Имя " descr="Descr 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1088</xdr:row>
      <xdr:rowOff>647700</xdr:rowOff>
    </xdr:from>
    <xdr:to>
      <xdr:col>3</xdr:col>
      <xdr:colOff>180975</xdr:colOff>
      <xdr:row>1088</xdr:row>
      <xdr:rowOff>800100</xdr:rowOff>
    </xdr:to>
    <xdr:sp macro="" textlink="">
      <xdr:nvSpPr>
        <xdr:cNvPr id="1976" name="Имя " descr="Descr 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1089</xdr:row>
      <xdr:rowOff>647700</xdr:rowOff>
    </xdr:from>
    <xdr:to>
      <xdr:col>3</xdr:col>
      <xdr:colOff>180975</xdr:colOff>
      <xdr:row>1089</xdr:row>
      <xdr:rowOff>800100</xdr:rowOff>
    </xdr:to>
    <xdr:sp macro="" textlink="">
      <xdr:nvSpPr>
        <xdr:cNvPr id="1978" name="Имя " descr="Descr 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1090</xdr:row>
      <xdr:rowOff>647700</xdr:rowOff>
    </xdr:from>
    <xdr:to>
      <xdr:col>3</xdr:col>
      <xdr:colOff>180975</xdr:colOff>
      <xdr:row>1090</xdr:row>
      <xdr:rowOff>800100</xdr:rowOff>
    </xdr:to>
    <xdr:sp macro="" textlink="">
      <xdr:nvSpPr>
        <xdr:cNvPr id="1980" name="Имя " descr="Descr 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1091</xdr:row>
      <xdr:rowOff>647700</xdr:rowOff>
    </xdr:from>
    <xdr:to>
      <xdr:col>3</xdr:col>
      <xdr:colOff>180975</xdr:colOff>
      <xdr:row>1091</xdr:row>
      <xdr:rowOff>800100</xdr:rowOff>
    </xdr:to>
    <xdr:sp macro="" textlink="">
      <xdr:nvSpPr>
        <xdr:cNvPr id="1982" name="Имя " descr="Descr 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1092</xdr:row>
      <xdr:rowOff>647700</xdr:rowOff>
    </xdr:from>
    <xdr:to>
      <xdr:col>3</xdr:col>
      <xdr:colOff>180975</xdr:colOff>
      <xdr:row>1092</xdr:row>
      <xdr:rowOff>800100</xdr:rowOff>
    </xdr:to>
    <xdr:sp macro="" textlink="">
      <xdr:nvSpPr>
        <xdr:cNvPr id="1984" name="Имя " descr="Descr 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1093</xdr:row>
      <xdr:rowOff>647700</xdr:rowOff>
    </xdr:from>
    <xdr:to>
      <xdr:col>3</xdr:col>
      <xdr:colOff>180975</xdr:colOff>
      <xdr:row>1093</xdr:row>
      <xdr:rowOff>800100</xdr:rowOff>
    </xdr:to>
    <xdr:sp macro="" textlink="">
      <xdr:nvSpPr>
        <xdr:cNvPr id="1986" name="Имя " descr="Descr 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1094</xdr:row>
      <xdr:rowOff>647700</xdr:rowOff>
    </xdr:from>
    <xdr:to>
      <xdr:col>3</xdr:col>
      <xdr:colOff>180975</xdr:colOff>
      <xdr:row>1094</xdr:row>
      <xdr:rowOff>800100</xdr:rowOff>
    </xdr:to>
    <xdr:sp macro="" textlink="">
      <xdr:nvSpPr>
        <xdr:cNvPr id="1988" name="Имя " descr="Descr 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1095</xdr:row>
      <xdr:rowOff>647700</xdr:rowOff>
    </xdr:from>
    <xdr:to>
      <xdr:col>3</xdr:col>
      <xdr:colOff>180975</xdr:colOff>
      <xdr:row>1095</xdr:row>
      <xdr:rowOff>800100</xdr:rowOff>
    </xdr:to>
    <xdr:sp macro="" textlink="">
      <xdr:nvSpPr>
        <xdr:cNvPr id="1990" name="Имя " descr="Descr 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1096</xdr:row>
      <xdr:rowOff>647700</xdr:rowOff>
    </xdr:from>
    <xdr:to>
      <xdr:col>3</xdr:col>
      <xdr:colOff>180975</xdr:colOff>
      <xdr:row>1096</xdr:row>
      <xdr:rowOff>800100</xdr:rowOff>
    </xdr:to>
    <xdr:sp macro="" textlink="">
      <xdr:nvSpPr>
        <xdr:cNvPr id="1992" name="Имя " descr="Descr 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1097</xdr:row>
      <xdr:rowOff>647700</xdr:rowOff>
    </xdr:from>
    <xdr:to>
      <xdr:col>3</xdr:col>
      <xdr:colOff>180975</xdr:colOff>
      <xdr:row>1097</xdr:row>
      <xdr:rowOff>800100</xdr:rowOff>
    </xdr:to>
    <xdr:sp macro="" textlink="">
      <xdr:nvSpPr>
        <xdr:cNvPr id="1994" name="Имя " descr="Descr 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1098</xdr:row>
      <xdr:rowOff>647700</xdr:rowOff>
    </xdr:from>
    <xdr:to>
      <xdr:col>3</xdr:col>
      <xdr:colOff>180975</xdr:colOff>
      <xdr:row>1098</xdr:row>
      <xdr:rowOff>800100</xdr:rowOff>
    </xdr:to>
    <xdr:sp macro="" textlink="">
      <xdr:nvSpPr>
        <xdr:cNvPr id="1996" name="Имя " descr="Descr 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1099</xdr:row>
      <xdr:rowOff>647700</xdr:rowOff>
    </xdr:from>
    <xdr:to>
      <xdr:col>3</xdr:col>
      <xdr:colOff>180975</xdr:colOff>
      <xdr:row>1099</xdr:row>
      <xdr:rowOff>800100</xdr:rowOff>
    </xdr:to>
    <xdr:sp macro="" textlink="">
      <xdr:nvSpPr>
        <xdr:cNvPr id="1998" name="Имя " descr="Descr 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1100</xdr:row>
      <xdr:rowOff>647700</xdr:rowOff>
    </xdr:from>
    <xdr:to>
      <xdr:col>3</xdr:col>
      <xdr:colOff>180975</xdr:colOff>
      <xdr:row>1100</xdr:row>
      <xdr:rowOff>800100</xdr:rowOff>
    </xdr:to>
    <xdr:sp macro="" textlink="">
      <xdr:nvSpPr>
        <xdr:cNvPr id="2000" name="Имя " descr="Descr 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1101</xdr:row>
      <xdr:rowOff>647700</xdr:rowOff>
    </xdr:from>
    <xdr:to>
      <xdr:col>3</xdr:col>
      <xdr:colOff>180975</xdr:colOff>
      <xdr:row>1101</xdr:row>
      <xdr:rowOff>800100</xdr:rowOff>
    </xdr:to>
    <xdr:sp macro="" textlink="">
      <xdr:nvSpPr>
        <xdr:cNvPr id="2002" name="Имя " descr="Descr 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1102</xdr:row>
      <xdr:rowOff>647700</xdr:rowOff>
    </xdr:from>
    <xdr:to>
      <xdr:col>3</xdr:col>
      <xdr:colOff>180975</xdr:colOff>
      <xdr:row>1102</xdr:row>
      <xdr:rowOff>800100</xdr:rowOff>
    </xdr:to>
    <xdr:sp macro="" textlink="">
      <xdr:nvSpPr>
        <xdr:cNvPr id="2004" name="Имя " descr="Descr 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1103</xdr:row>
      <xdr:rowOff>647700</xdr:rowOff>
    </xdr:from>
    <xdr:to>
      <xdr:col>3</xdr:col>
      <xdr:colOff>180975</xdr:colOff>
      <xdr:row>1103</xdr:row>
      <xdr:rowOff>800100</xdr:rowOff>
    </xdr:to>
    <xdr:sp macro="" textlink="">
      <xdr:nvSpPr>
        <xdr:cNvPr id="2006" name="Имя " descr="Descr 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1104</xdr:row>
      <xdr:rowOff>647700</xdr:rowOff>
    </xdr:from>
    <xdr:to>
      <xdr:col>3</xdr:col>
      <xdr:colOff>180975</xdr:colOff>
      <xdr:row>1104</xdr:row>
      <xdr:rowOff>800100</xdr:rowOff>
    </xdr:to>
    <xdr:sp macro="" textlink="">
      <xdr:nvSpPr>
        <xdr:cNvPr id="2008" name="Имя " descr="Descr 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1105</xdr:row>
      <xdr:rowOff>647700</xdr:rowOff>
    </xdr:from>
    <xdr:to>
      <xdr:col>3</xdr:col>
      <xdr:colOff>180975</xdr:colOff>
      <xdr:row>1105</xdr:row>
      <xdr:rowOff>800100</xdr:rowOff>
    </xdr:to>
    <xdr:sp macro="" textlink="">
      <xdr:nvSpPr>
        <xdr:cNvPr id="2010" name="Имя " descr="Descr 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1106</xdr:row>
      <xdr:rowOff>647700</xdr:rowOff>
    </xdr:from>
    <xdr:to>
      <xdr:col>3</xdr:col>
      <xdr:colOff>180975</xdr:colOff>
      <xdr:row>1106</xdr:row>
      <xdr:rowOff>800100</xdr:rowOff>
    </xdr:to>
    <xdr:sp macro="" textlink="">
      <xdr:nvSpPr>
        <xdr:cNvPr id="2012" name="Имя " descr="Descr 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1107</xdr:row>
      <xdr:rowOff>647700</xdr:rowOff>
    </xdr:from>
    <xdr:to>
      <xdr:col>3</xdr:col>
      <xdr:colOff>180975</xdr:colOff>
      <xdr:row>1107</xdr:row>
      <xdr:rowOff>800100</xdr:rowOff>
    </xdr:to>
    <xdr:sp macro="" textlink="">
      <xdr:nvSpPr>
        <xdr:cNvPr id="2014" name="Имя " descr="Descr 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1108</xdr:row>
      <xdr:rowOff>647700</xdr:rowOff>
    </xdr:from>
    <xdr:to>
      <xdr:col>3</xdr:col>
      <xdr:colOff>180975</xdr:colOff>
      <xdr:row>1108</xdr:row>
      <xdr:rowOff>800100</xdr:rowOff>
    </xdr:to>
    <xdr:sp macro="" textlink="">
      <xdr:nvSpPr>
        <xdr:cNvPr id="2016" name="Имя " descr="Descr 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1109</xdr:row>
      <xdr:rowOff>647700</xdr:rowOff>
    </xdr:from>
    <xdr:to>
      <xdr:col>3</xdr:col>
      <xdr:colOff>180975</xdr:colOff>
      <xdr:row>1109</xdr:row>
      <xdr:rowOff>800100</xdr:rowOff>
    </xdr:to>
    <xdr:sp macro="" textlink="">
      <xdr:nvSpPr>
        <xdr:cNvPr id="2018" name="Имя " descr="Descr 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1110</xdr:row>
      <xdr:rowOff>647700</xdr:rowOff>
    </xdr:from>
    <xdr:to>
      <xdr:col>3</xdr:col>
      <xdr:colOff>180975</xdr:colOff>
      <xdr:row>1110</xdr:row>
      <xdr:rowOff>800100</xdr:rowOff>
    </xdr:to>
    <xdr:sp macro="" textlink="">
      <xdr:nvSpPr>
        <xdr:cNvPr id="2020" name="Имя " descr="Descr 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1111</xdr:row>
      <xdr:rowOff>647700</xdr:rowOff>
    </xdr:from>
    <xdr:to>
      <xdr:col>3</xdr:col>
      <xdr:colOff>180975</xdr:colOff>
      <xdr:row>1111</xdr:row>
      <xdr:rowOff>800100</xdr:rowOff>
    </xdr:to>
    <xdr:sp macro="" textlink="">
      <xdr:nvSpPr>
        <xdr:cNvPr id="2022" name="Имя " descr="Descr 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1113</xdr:row>
      <xdr:rowOff>647700</xdr:rowOff>
    </xdr:from>
    <xdr:to>
      <xdr:col>3</xdr:col>
      <xdr:colOff>180975</xdr:colOff>
      <xdr:row>1113</xdr:row>
      <xdr:rowOff>800100</xdr:rowOff>
    </xdr:to>
    <xdr:sp macro="" textlink="">
      <xdr:nvSpPr>
        <xdr:cNvPr id="2024" name="Имя " descr="Descr 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1114</xdr:row>
      <xdr:rowOff>647700</xdr:rowOff>
    </xdr:from>
    <xdr:to>
      <xdr:col>3</xdr:col>
      <xdr:colOff>180975</xdr:colOff>
      <xdr:row>1114</xdr:row>
      <xdr:rowOff>800100</xdr:rowOff>
    </xdr:to>
    <xdr:sp macro="" textlink="">
      <xdr:nvSpPr>
        <xdr:cNvPr id="2026" name="Имя " descr="Descr 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1115</xdr:row>
      <xdr:rowOff>647700</xdr:rowOff>
    </xdr:from>
    <xdr:to>
      <xdr:col>3</xdr:col>
      <xdr:colOff>180975</xdr:colOff>
      <xdr:row>1115</xdr:row>
      <xdr:rowOff>800100</xdr:rowOff>
    </xdr:to>
    <xdr:sp macro="" textlink="">
      <xdr:nvSpPr>
        <xdr:cNvPr id="2028" name="Имя " descr="Descr 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1116</xdr:row>
      <xdr:rowOff>647700</xdr:rowOff>
    </xdr:from>
    <xdr:to>
      <xdr:col>3</xdr:col>
      <xdr:colOff>180975</xdr:colOff>
      <xdr:row>1116</xdr:row>
      <xdr:rowOff>800100</xdr:rowOff>
    </xdr:to>
    <xdr:sp macro="" textlink="">
      <xdr:nvSpPr>
        <xdr:cNvPr id="2030" name="Имя " descr="Descr 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1117</xdr:row>
      <xdr:rowOff>647700</xdr:rowOff>
    </xdr:from>
    <xdr:to>
      <xdr:col>3</xdr:col>
      <xdr:colOff>180975</xdr:colOff>
      <xdr:row>1117</xdr:row>
      <xdr:rowOff>800100</xdr:rowOff>
    </xdr:to>
    <xdr:sp macro="" textlink="">
      <xdr:nvSpPr>
        <xdr:cNvPr id="2032" name="Имя " descr="Descr 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1118</xdr:row>
      <xdr:rowOff>647700</xdr:rowOff>
    </xdr:from>
    <xdr:to>
      <xdr:col>3</xdr:col>
      <xdr:colOff>180975</xdr:colOff>
      <xdr:row>1118</xdr:row>
      <xdr:rowOff>800100</xdr:rowOff>
    </xdr:to>
    <xdr:sp macro="" textlink="">
      <xdr:nvSpPr>
        <xdr:cNvPr id="2034" name="Имя " descr="Descr 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1119</xdr:row>
      <xdr:rowOff>647700</xdr:rowOff>
    </xdr:from>
    <xdr:to>
      <xdr:col>3</xdr:col>
      <xdr:colOff>180975</xdr:colOff>
      <xdr:row>1119</xdr:row>
      <xdr:rowOff>800100</xdr:rowOff>
    </xdr:to>
    <xdr:sp macro="" textlink="">
      <xdr:nvSpPr>
        <xdr:cNvPr id="2036" name="Имя " descr="Descr 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1120</xdr:row>
      <xdr:rowOff>647700</xdr:rowOff>
    </xdr:from>
    <xdr:to>
      <xdr:col>3</xdr:col>
      <xdr:colOff>180975</xdr:colOff>
      <xdr:row>1120</xdr:row>
      <xdr:rowOff>800100</xdr:rowOff>
    </xdr:to>
    <xdr:sp macro="" textlink="">
      <xdr:nvSpPr>
        <xdr:cNvPr id="2038" name="Имя " descr="Descr 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1121</xdr:row>
      <xdr:rowOff>647700</xdr:rowOff>
    </xdr:from>
    <xdr:to>
      <xdr:col>3</xdr:col>
      <xdr:colOff>180975</xdr:colOff>
      <xdr:row>1121</xdr:row>
      <xdr:rowOff>800100</xdr:rowOff>
    </xdr:to>
    <xdr:sp macro="" textlink="">
      <xdr:nvSpPr>
        <xdr:cNvPr id="2040" name="Имя " descr="Descr 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1122</xdr:row>
      <xdr:rowOff>647700</xdr:rowOff>
    </xdr:from>
    <xdr:to>
      <xdr:col>3</xdr:col>
      <xdr:colOff>180975</xdr:colOff>
      <xdr:row>1122</xdr:row>
      <xdr:rowOff>800100</xdr:rowOff>
    </xdr:to>
    <xdr:sp macro="" textlink="">
      <xdr:nvSpPr>
        <xdr:cNvPr id="2042" name="Имя " descr="Descr 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1124</xdr:row>
      <xdr:rowOff>647700</xdr:rowOff>
    </xdr:from>
    <xdr:to>
      <xdr:col>3</xdr:col>
      <xdr:colOff>180975</xdr:colOff>
      <xdr:row>1124</xdr:row>
      <xdr:rowOff>800100</xdr:rowOff>
    </xdr:to>
    <xdr:sp macro="" textlink="">
      <xdr:nvSpPr>
        <xdr:cNvPr id="2044" name="Имя " descr="Descr 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1125</xdr:row>
      <xdr:rowOff>647700</xdr:rowOff>
    </xdr:from>
    <xdr:to>
      <xdr:col>3</xdr:col>
      <xdr:colOff>180975</xdr:colOff>
      <xdr:row>1125</xdr:row>
      <xdr:rowOff>800100</xdr:rowOff>
    </xdr:to>
    <xdr:sp macro="" textlink="">
      <xdr:nvSpPr>
        <xdr:cNvPr id="2046" name="Имя " descr="Descr 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1126</xdr:row>
      <xdr:rowOff>647700</xdr:rowOff>
    </xdr:from>
    <xdr:to>
      <xdr:col>3</xdr:col>
      <xdr:colOff>180975</xdr:colOff>
      <xdr:row>1126</xdr:row>
      <xdr:rowOff>800100</xdr:rowOff>
    </xdr:to>
    <xdr:sp macro="" textlink="">
      <xdr:nvSpPr>
        <xdr:cNvPr id="2048" name="Имя " descr="Descr 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1127</xdr:row>
      <xdr:rowOff>647700</xdr:rowOff>
    </xdr:from>
    <xdr:to>
      <xdr:col>3</xdr:col>
      <xdr:colOff>180975</xdr:colOff>
      <xdr:row>1127</xdr:row>
      <xdr:rowOff>800100</xdr:rowOff>
    </xdr:to>
    <xdr:sp macro="" textlink="">
      <xdr:nvSpPr>
        <xdr:cNvPr id="2050" name="Имя " descr="Descr 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1128</xdr:row>
      <xdr:rowOff>647700</xdr:rowOff>
    </xdr:from>
    <xdr:to>
      <xdr:col>3</xdr:col>
      <xdr:colOff>180975</xdr:colOff>
      <xdr:row>1128</xdr:row>
      <xdr:rowOff>800100</xdr:rowOff>
    </xdr:to>
    <xdr:sp macro="" textlink="">
      <xdr:nvSpPr>
        <xdr:cNvPr id="2052" name="Имя " descr="Descr 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1130</xdr:row>
      <xdr:rowOff>647700</xdr:rowOff>
    </xdr:from>
    <xdr:to>
      <xdr:col>3</xdr:col>
      <xdr:colOff>180975</xdr:colOff>
      <xdr:row>1130</xdr:row>
      <xdr:rowOff>800100</xdr:rowOff>
    </xdr:to>
    <xdr:sp macro="" textlink="">
      <xdr:nvSpPr>
        <xdr:cNvPr id="2054" name="Имя " descr="Descr 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1131</xdr:row>
      <xdr:rowOff>647700</xdr:rowOff>
    </xdr:from>
    <xdr:to>
      <xdr:col>3</xdr:col>
      <xdr:colOff>180975</xdr:colOff>
      <xdr:row>1131</xdr:row>
      <xdr:rowOff>800100</xdr:rowOff>
    </xdr:to>
    <xdr:sp macro="" textlink="">
      <xdr:nvSpPr>
        <xdr:cNvPr id="2056" name="Имя " descr="Descr 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1132</xdr:row>
      <xdr:rowOff>647700</xdr:rowOff>
    </xdr:from>
    <xdr:to>
      <xdr:col>3</xdr:col>
      <xdr:colOff>180975</xdr:colOff>
      <xdr:row>1132</xdr:row>
      <xdr:rowOff>800100</xdr:rowOff>
    </xdr:to>
    <xdr:sp macro="" textlink="">
      <xdr:nvSpPr>
        <xdr:cNvPr id="2058" name="Имя " descr="Descr 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1133</xdr:row>
      <xdr:rowOff>647700</xdr:rowOff>
    </xdr:from>
    <xdr:to>
      <xdr:col>3</xdr:col>
      <xdr:colOff>180975</xdr:colOff>
      <xdr:row>1133</xdr:row>
      <xdr:rowOff>800100</xdr:rowOff>
    </xdr:to>
    <xdr:sp macro="" textlink="">
      <xdr:nvSpPr>
        <xdr:cNvPr id="2060" name="Имя " descr="Descr 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1134</xdr:row>
      <xdr:rowOff>647700</xdr:rowOff>
    </xdr:from>
    <xdr:to>
      <xdr:col>3</xdr:col>
      <xdr:colOff>180975</xdr:colOff>
      <xdr:row>1134</xdr:row>
      <xdr:rowOff>800100</xdr:rowOff>
    </xdr:to>
    <xdr:sp macro="" textlink="">
      <xdr:nvSpPr>
        <xdr:cNvPr id="2062" name="Имя " descr="Descr 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1135</xdr:row>
      <xdr:rowOff>647700</xdr:rowOff>
    </xdr:from>
    <xdr:to>
      <xdr:col>3</xdr:col>
      <xdr:colOff>180975</xdr:colOff>
      <xdr:row>1135</xdr:row>
      <xdr:rowOff>800100</xdr:rowOff>
    </xdr:to>
    <xdr:sp macro="" textlink="">
      <xdr:nvSpPr>
        <xdr:cNvPr id="2064" name="Имя " descr="Descr 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1136</xdr:row>
      <xdr:rowOff>647700</xdr:rowOff>
    </xdr:from>
    <xdr:to>
      <xdr:col>3</xdr:col>
      <xdr:colOff>180975</xdr:colOff>
      <xdr:row>1136</xdr:row>
      <xdr:rowOff>800100</xdr:rowOff>
    </xdr:to>
    <xdr:sp macro="" textlink="">
      <xdr:nvSpPr>
        <xdr:cNvPr id="2066" name="Имя " descr="Descr 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1137</xdr:row>
      <xdr:rowOff>647700</xdr:rowOff>
    </xdr:from>
    <xdr:to>
      <xdr:col>3</xdr:col>
      <xdr:colOff>180975</xdr:colOff>
      <xdr:row>1137</xdr:row>
      <xdr:rowOff>800100</xdr:rowOff>
    </xdr:to>
    <xdr:sp macro="" textlink="">
      <xdr:nvSpPr>
        <xdr:cNvPr id="2068" name="Имя " descr="Descr 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1138</xdr:row>
      <xdr:rowOff>647700</xdr:rowOff>
    </xdr:from>
    <xdr:to>
      <xdr:col>3</xdr:col>
      <xdr:colOff>180975</xdr:colOff>
      <xdr:row>1138</xdr:row>
      <xdr:rowOff>800100</xdr:rowOff>
    </xdr:to>
    <xdr:sp macro="" textlink="">
      <xdr:nvSpPr>
        <xdr:cNvPr id="2070" name="Имя " descr="Descr 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1139</xdr:row>
      <xdr:rowOff>647700</xdr:rowOff>
    </xdr:from>
    <xdr:to>
      <xdr:col>3</xdr:col>
      <xdr:colOff>180975</xdr:colOff>
      <xdr:row>1139</xdr:row>
      <xdr:rowOff>800100</xdr:rowOff>
    </xdr:to>
    <xdr:sp macro="" textlink="">
      <xdr:nvSpPr>
        <xdr:cNvPr id="2072" name="Имя " descr="Descr 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1141</xdr:row>
      <xdr:rowOff>647700</xdr:rowOff>
    </xdr:from>
    <xdr:to>
      <xdr:col>3</xdr:col>
      <xdr:colOff>180975</xdr:colOff>
      <xdr:row>1141</xdr:row>
      <xdr:rowOff>800100</xdr:rowOff>
    </xdr:to>
    <xdr:sp macro="" textlink="">
      <xdr:nvSpPr>
        <xdr:cNvPr id="2074" name="Имя " descr="Descr 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1143</xdr:row>
      <xdr:rowOff>647700</xdr:rowOff>
    </xdr:from>
    <xdr:to>
      <xdr:col>3</xdr:col>
      <xdr:colOff>180975</xdr:colOff>
      <xdr:row>1143</xdr:row>
      <xdr:rowOff>800100</xdr:rowOff>
    </xdr:to>
    <xdr:sp macro="" textlink="">
      <xdr:nvSpPr>
        <xdr:cNvPr id="2076" name="Имя " descr="Descr 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1144</xdr:row>
      <xdr:rowOff>647700</xdr:rowOff>
    </xdr:from>
    <xdr:to>
      <xdr:col>3</xdr:col>
      <xdr:colOff>180975</xdr:colOff>
      <xdr:row>1144</xdr:row>
      <xdr:rowOff>800100</xdr:rowOff>
    </xdr:to>
    <xdr:sp macro="" textlink="">
      <xdr:nvSpPr>
        <xdr:cNvPr id="2078" name="Имя " descr="Descr 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1145</xdr:row>
      <xdr:rowOff>647700</xdr:rowOff>
    </xdr:from>
    <xdr:to>
      <xdr:col>3</xdr:col>
      <xdr:colOff>180975</xdr:colOff>
      <xdr:row>1145</xdr:row>
      <xdr:rowOff>800100</xdr:rowOff>
    </xdr:to>
    <xdr:sp macro="" textlink="">
      <xdr:nvSpPr>
        <xdr:cNvPr id="2080" name="Имя " descr="Descr 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1146</xdr:row>
      <xdr:rowOff>647700</xdr:rowOff>
    </xdr:from>
    <xdr:to>
      <xdr:col>3</xdr:col>
      <xdr:colOff>180975</xdr:colOff>
      <xdr:row>1146</xdr:row>
      <xdr:rowOff>800100</xdr:rowOff>
    </xdr:to>
    <xdr:sp macro="" textlink="">
      <xdr:nvSpPr>
        <xdr:cNvPr id="2082" name="Имя " descr="Descr 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1147</xdr:row>
      <xdr:rowOff>647700</xdr:rowOff>
    </xdr:from>
    <xdr:to>
      <xdr:col>3</xdr:col>
      <xdr:colOff>180975</xdr:colOff>
      <xdr:row>1147</xdr:row>
      <xdr:rowOff>800100</xdr:rowOff>
    </xdr:to>
    <xdr:sp macro="" textlink="">
      <xdr:nvSpPr>
        <xdr:cNvPr id="2084" name="Имя " descr="Descr 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1148</xdr:row>
      <xdr:rowOff>647700</xdr:rowOff>
    </xdr:from>
    <xdr:to>
      <xdr:col>3</xdr:col>
      <xdr:colOff>180975</xdr:colOff>
      <xdr:row>1148</xdr:row>
      <xdr:rowOff>800100</xdr:rowOff>
    </xdr:to>
    <xdr:sp macro="" textlink="">
      <xdr:nvSpPr>
        <xdr:cNvPr id="2086" name="Имя " descr="Descr 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1149</xdr:row>
      <xdr:rowOff>647700</xdr:rowOff>
    </xdr:from>
    <xdr:to>
      <xdr:col>3</xdr:col>
      <xdr:colOff>180975</xdr:colOff>
      <xdr:row>1149</xdr:row>
      <xdr:rowOff>800100</xdr:rowOff>
    </xdr:to>
    <xdr:sp macro="" textlink="">
      <xdr:nvSpPr>
        <xdr:cNvPr id="2088" name="Имя " descr="Descr 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1150</xdr:row>
      <xdr:rowOff>647700</xdr:rowOff>
    </xdr:from>
    <xdr:to>
      <xdr:col>3</xdr:col>
      <xdr:colOff>180975</xdr:colOff>
      <xdr:row>1150</xdr:row>
      <xdr:rowOff>800100</xdr:rowOff>
    </xdr:to>
    <xdr:sp macro="" textlink="">
      <xdr:nvSpPr>
        <xdr:cNvPr id="2090" name="Имя " descr="Descr 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1151</xdr:row>
      <xdr:rowOff>647700</xdr:rowOff>
    </xdr:from>
    <xdr:to>
      <xdr:col>3</xdr:col>
      <xdr:colOff>180975</xdr:colOff>
      <xdr:row>1151</xdr:row>
      <xdr:rowOff>800100</xdr:rowOff>
    </xdr:to>
    <xdr:sp macro="" textlink="">
      <xdr:nvSpPr>
        <xdr:cNvPr id="2092" name="Имя " descr="Descr 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1153</xdr:row>
      <xdr:rowOff>647700</xdr:rowOff>
    </xdr:from>
    <xdr:to>
      <xdr:col>3</xdr:col>
      <xdr:colOff>180975</xdr:colOff>
      <xdr:row>1153</xdr:row>
      <xdr:rowOff>800100</xdr:rowOff>
    </xdr:to>
    <xdr:sp macro="" textlink="">
      <xdr:nvSpPr>
        <xdr:cNvPr id="2094" name="Имя " descr="Descr 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1154</xdr:row>
      <xdr:rowOff>647700</xdr:rowOff>
    </xdr:from>
    <xdr:to>
      <xdr:col>3</xdr:col>
      <xdr:colOff>180975</xdr:colOff>
      <xdr:row>1154</xdr:row>
      <xdr:rowOff>800100</xdr:rowOff>
    </xdr:to>
    <xdr:sp macro="" textlink="">
      <xdr:nvSpPr>
        <xdr:cNvPr id="2096" name="Имя " descr="Descr 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1155</xdr:row>
      <xdr:rowOff>647700</xdr:rowOff>
    </xdr:from>
    <xdr:to>
      <xdr:col>3</xdr:col>
      <xdr:colOff>180975</xdr:colOff>
      <xdr:row>1155</xdr:row>
      <xdr:rowOff>800100</xdr:rowOff>
    </xdr:to>
    <xdr:sp macro="" textlink="">
      <xdr:nvSpPr>
        <xdr:cNvPr id="2098" name="Имя " descr="Descr 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1156</xdr:row>
      <xdr:rowOff>647700</xdr:rowOff>
    </xdr:from>
    <xdr:to>
      <xdr:col>3</xdr:col>
      <xdr:colOff>180975</xdr:colOff>
      <xdr:row>1156</xdr:row>
      <xdr:rowOff>800100</xdr:rowOff>
    </xdr:to>
    <xdr:sp macro="" textlink="">
      <xdr:nvSpPr>
        <xdr:cNvPr id="2100" name="Имя " descr="Descr 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1158</xdr:row>
      <xdr:rowOff>647700</xdr:rowOff>
    </xdr:from>
    <xdr:to>
      <xdr:col>3</xdr:col>
      <xdr:colOff>180975</xdr:colOff>
      <xdr:row>1158</xdr:row>
      <xdr:rowOff>800100</xdr:rowOff>
    </xdr:to>
    <xdr:sp macro="" textlink="">
      <xdr:nvSpPr>
        <xdr:cNvPr id="2102" name="Имя " descr="Descr 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1159</xdr:row>
      <xdr:rowOff>647700</xdr:rowOff>
    </xdr:from>
    <xdr:to>
      <xdr:col>3</xdr:col>
      <xdr:colOff>180975</xdr:colOff>
      <xdr:row>1159</xdr:row>
      <xdr:rowOff>800100</xdr:rowOff>
    </xdr:to>
    <xdr:sp macro="" textlink="">
      <xdr:nvSpPr>
        <xdr:cNvPr id="2104" name="Имя " descr="Descr 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1160</xdr:row>
      <xdr:rowOff>647700</xdr:rowOff>
    </xdr:from>
    <xdr:to>
      <xdr:col>3</xdr:col>
      <xdr:colOff>180975</xdr:colOff>
      <xdr:row>1160</xdr:row>
      <xdr:rowOff>800100</xdr:rowOff>
    </xdr:to>
    <xdr:sp macro="" textlink="">
      <xdr:nvSpPr>
        <xdr:cNvPr id="2106" name="Имя " descr="Descr 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1161</xdr:row>
      <xdr:rowOff>647700</xdr:rowOff>
    </xdr:from>
    <xdr:to>
      <xdr:col>3</xdr:col>
      <xdr:colOff>180975</xdr:colOff>
      <xdr:row>1161</xdr:row>
      <xdr:rowOff>800100</xdr:rowOff>
    </xdr:to>
    <xdr:sp macro="" textlink="">
      <xdr:nvSpPr>
        <xdr:cNvPr id="2108" name="Имя " descr="Descr 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1162</xdr:row>
      <xdr:rowOff>647700</xdr:rowOff>
    </xdr:from>
    <xdr:to>
      <xdr:col>3</xdr:col>
      <xdr:colOff>180975</xdr:colOff>
      <xdr:row>1162</xdr:row>
      <xdr:rowOff>800100</xdr:rowOff>
    </xdr:to>
    <xdr:sp macro="" textlink="">
      <xdr:nvSpPr>
        <xdr:cNvPr id="2110" name="Имя " descr="Descr 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1163</xdr:row>
      <xdr:rowOff>647700</xdr:rowOff>
    </xdr:from>
    <xdr:to>
      <xdr:col>3</xdr:col>
      <xdr:colOff>180975</xdr:colOff>
      <xdr:row>1163</xdr:row>
      <xdr:rowOff>800100</xdr:rowOff>
    </xdr:to>
    <xdr:sp macro="" textlink="">
      <xdr:nvSpPr>
        <xdr:cNvPr id="2112" name="Имя " descr="Descr 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1164</xdr:row>
      <xdr:rowOff>647700</xdr:rowOff>
    </xdr:from>
    <xdr:to>
      <xdr:col>3</xdr:col>
      <xdr:colOff>180975</xdr:colOff>
      <xdr:row>1164</xdr:row>
      <xdr:rowOff>800100</xdr:rowOff>
    </xdr:to>
    <xdr:sp macro="" textlink="">
      <xdr:nvSpPr>
        <xdr:cNvPr id="2114" name="Имя " descr="Descr 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1165</xdr:row>
      <xdr:rowOff>647700</xdr:rowOff>
    </xdr:from>
    <xdr:to>
      <xdr:col>3</xdr:col>
      <xdr:colOff>180975</xdr:colOff>
      <xdr:row>1165</xdr:row>
      <xdr:rowOff>800100</xdr:rowOff>
    </xdr:to>
    <xdr:sp macro="" textlink="">
      <xdr:nvSpPr>
        <xdr:cNvPr id="2116" name="Имя " descr="Descr 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1166</xdr:row>
      <xdr:rowOff>647700</xdr:rowOff>
    </xdr:from>
    <xdr:to>
      <xdr:col>3</xdr:col>
      <xdr:colOff>180975</xdr:colOff>
      <xdr:row>1166</xdr:row>
      <xdr:rowOff>800100</xdr:rowOff>
    </xdr:to>
    <xdr:sp macro="" textlink="">
      <xdr:nvSpPr>
        <xdr:cNvPr id="2118" name="Имя " descr="Descr 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1167</xdr:row>
      <xdr:rowOff>647700</xdr:rowOff>
    </xdr:from>
    <xdr:to>
      <xdr:col>3</xdr:col>
      <xdr:colOff>180975</xdr:colOff>
      <xdr:row>1167</xdr:row>
      <xdr:rowOff>800100</xdr:rowOff>
    </xdr:to>
    <xdr:sp macro="" textlink="">
      <xdr:nvSpPr>
        <xdr:cNvPr id="2120" name="Имя " descr="Descr 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1168</xdr:row>
      <xdr:rowOff>647700</xdr:rowOff>
    </xdr:from>
    <xdr:to>
      <xdr:col>3</xdr:col>
      <xdr:colOff>180975</xdr:colOff>
      <xdr:row>1168</xdr:row>
      <xdr:rowOff>800100</xdr:rowOff>
    </xdr:to>
    <xdr:sp macro="" textlink="">
      <xdr:nvSpPr>
        <xdr:cNvPr id="2122" name="Имя " descr="Descr 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1169</xdr:row>
      <xdr:rowOff>647700</xdr:rowOff>
    </xdr:from>
    <xdr:to>
      <xdr:col>3</xdr:col>
      <xdr:colOff>180975</xdr:colOff>
      <xdr:row>1169</xdr:row>
      <xdr:rowOff>800100</xdr:rowOff>
    </xdr:to>
    <xdr:sp macro="" textlink="">
      <xdr:nvSpPr>
        <xdr:cNvPr id="2124" name="Имя " descr="Descr 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1170</xdr:row>
      <xdr:rowOff>647700</xdr:rowOff>
    </xdr:from>
    <xdr:to>
      <xdr:col>3</xdr:col>
      <xdr:colOff>180975</xdr:colOff>
      <xdr:row>1170</xdr:row>
      <xdr:rowOff>800100</xdr:rowOff>
    </xdr:to>
    <xdr:sp macro="" textlink="">
      <xdr:nvSpPr>
        <xdr:cNvPr id="2126" name="Имя " descr="Descr 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1171</xdr:row>
      <xdr:rowOff>647700</xdr:rowOff>
    </xdr:from>
    <xdr:to>
      <xdr:col>3</xdr:col>
      <xdr:colOff>180975</xdr:colOff>
      <xdr:row>1171</xdr:row>
      <xdr:rowOff>800100</xdr:rowOff>
    </xdr:to>
    <xdr:sp macro="" textlink="">
      <xdr:nvSpPr>
        <xdr:cNvPr id="2128" name="Имя " descr="Descr 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1172</xdr:row>
      <xdr:rowOff>647700</xdr:rowOff>
    </xdr:from>
    <xdr:to>
      <xdr:col>3</xdr:col>
      <xdr:colOff>180975</xdr:colOff>
      <xdr:row>1172</xdr:row>
      <xdr:rowOff>800100</xdr:rowOff>
    </xdr:to>
    <xdr:sp macro="" textlink="">
      <xdr:nvSpPr>
        <xdr:cNvPr id="2130" name="Имя " descr="Descr 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1173</xdr:row>
      <xdr:rowOff>647700</xdr:rowOff>
    </xdr:from>
    <xdr:to>
      <xdr:col>3</xdr:col>
      <xdr:colOff>180975</xdr:colOff>
      <xdr:row>1173</xdr:row>
      <xdr:rowOff>800100</xdr:rowOff>
    </xdr:to>
    <xdr:sp macro="" textlink="">
      <xdr:nvSpPr>
        <xdr:cNvPr id="2132" name="Имя " descr="Descr 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1174</xdr:row>
      <xdr:rowOff>647700</xdr:rowOff>
    </xdr:from>
    <xdr:to>
      <xdr:col>3</xdr:col>
      <xdr:colOff>180975</xdr:colOff>
      <xdr:row>1174</xdr:row>
      <xdr:rowOff>800100</xdr:rowOff>
    </xdr:to>
    <xdr:sp macro="" textlink="">
      <xdr:nvSpPr>
        <xdr:cNvPr id="2134" name="Имя " descr="Descr 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1175</xdr:row>
      <xdr:rowOff>647700</xdr:rowOff>
    </xdr:from>
    <xdr:to>
      <xdr:col>3</xdr:col>
      <xdr:colOff>180975</xdr:colOff>
      <xdr:row>1175</xdr:row>
      <xdr:rowOff>800100</xdr:rowOff>
    </xdr:to>
    <xdr:sp macro="" textlink="">
      <xdr:nvSpPr>
        <xdr:cNvPr id="2136" name="Имя " descr="Descr 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1176</xdr:row>
      <xdr:rowOff>647700</xdr:rowOff>
    </xdr:from>
    <xdr:to>
      <xdr:col>3</xdr:col>
      <xdr:colOff>180975</xdr:colOff>
      <xdr:row>1176</xdr:row>
      <xdr:rowOff>800100</xdr:rowOff>
    </xdr:to>
    <xdr:sp macro="" textlink="">
      <xdr:nvSpPr>
        <xdr:cNvPr id="2138" name="Имя " descr="Descr 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1177</xdr:row>
      <xdr:rowOff>647700</xdr:rowOff>
    </xdr:from>
    <xdr:to>
      <xdr:col>3</xdr:col>
      <xdr:colOff>180975</xdr:colOff>
      <xdr:row>1177</xdr:row>
      <xdr:rowOff>800100</xdr:rowOff>
    </xdr:to>
    <xdr:sp macro="" textlink="">
      <xdr:nvSpPr>
        <xdr:cNvPr id="2140" name="Имя " descr="Descr 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1178</xdr:row>
      <xdr:rowOff>647700</xdr:rowOff>
    </xdr:from>
    <xdr:to>
      <xdr:col>3</xdr:col>
      <xdr:colOff>180975</xdr:colOff>
      <xdr:row>1178</xdr:row>
      <xdr:rowOff>800100</xdr:rowOff>
    </xdr:to>
    <xdr:sp macro="" textlink="">
      <xdr:nvSpPr>
        <xdr:cNvPr id="2142" name="Имя " descr="Descr 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1179</xdr:row>
      <xdr:rowOff>647700</xdr:rowOff>
    </xdr:from>
    <xdr:to>
      <xdr:col>3</xdr:col>
      <xdr:colOff>180975</xdr:colOff>
      <xdr:row>1179</xdr:row>
      <xdr:rowOff>800100</xdr:rowOff>
    </xdr:to>
    <xdr:sp macro="" textlink="">
      <xdr:nvSpPr>
        <xdr:cNvPr id="2144" name="Имя " descr="Descr 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1180</xdr:row>
      <xdr:rowOff>647700</xdr:rowOff>
    </xdr:from>
    <xdr:to>
      <xdr:col>3</xdr:col>
      <xdr:colOff>180975</xdr:colOff>
      <xdr:row>1180</xdr:row>
      <xdr:rowOff>800100</xdr:rowOff>
    </xdr:to>
    <xdr:sp macro="" textlink="">
      <xdr:nvSpPr>
        <xdr:cNvPr id="2146" name="Имя " descr="Descr 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1181</xdr:row>
      <xdr:rowOff>647700</xdr:rowOff>
    </xdr:from>
    <xdr:to>
      <xdr:col>3</xdr:col>
      <xdr:colOff>180975</xdr:colOff>
      <xdr:row>1181</xdr:row>
      <xdr:rowOff>800100</xdr:rowOff>
    </xdr:to>
    <xdr:sp macro="" textlink="">
      <xdr:nvSpPr>
        <xdr:cNvPr id="2148" name="Имя " descr="Descr 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1183</xdr:row>
      <xdr:rowOff>647700</xdr:rowOff>
    </xdr:from>
    <xdr:to>
      <xdr:col>3</xdr:col>
      <xdr:colOff>180975</xdr:colOff>
      <xdr:row>1183</xdr:row>
      <xdr:rowOff>800100</xdr:rowOff>
    </xdr:to>
    <xdr:sp macro="" textlink="">
      <xdr:nvSpPr>
        <xdr:cNvPr id="2150" name="Имя " descr="Descr 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1184</xdr:row>
      <xdr:rowOff>647700</xdr:rowOff>
    </xdr:from>
    <xdr:to>
      <xdr:col>3</xdr:col>
      <xdr:colOff>180975</xdr:colOff>
      <xdr:row>1184</xdr:row>
      <xdr:rowOff>800100</xdr:rowOff>
    </xdr:to>
    <xdr:sp macro="" textlink="">
      <xdr:nvSpPr>
        <xdr:cNvPr id="2152" name="Имя " descr="Descr 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1185</xdr:row>
      <xdr:rowOff>647700</xdr:rowOff>
    </xdr:from>
    <xdr:to>
      <xdr:col>3</xdr:col>
      <xdr:colOff>180975</xdr:colOff>
      <xdr:row>1185</xdr:row>
      <xdr:rowOff>800100</xdr:rowOff>
    </xdr:to>
    <xdr:sp macro="" textlink="">
      <xdr:nvSpPr>
        <xdr:cNvPr id="2154" name="Имя " descr="Descr 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1186</xdr:row>
      <xdr:rowOff>647700</xdr:rowOff>
    </xdr:from>
    <xdr:to>
      <xdr:col>3</xdr:col>
      <xdr:colOff>180975</xdr:colOff>
      <xdr:row>1186</xdr:row>
      <xdr:rowOff>800100</xdr:rowOff>
    </xdr:to>
    <xdr:sp macro="" textlink="">
      <xdr:nvSpPr>
        <xdr:cNvPr id="2156" name="Имя " descr="Descr 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1187</xdr:row>
      <xdr:rowOff>647700</xdr:rowOff>
    </xdr:from>
    <xdr:to>
      <xdr:col>3</xdr:col>
      <xdr:colOff>180975</xdr:colOff>
      <xdr:row>1187</xdr:row>
      <xdr:rowOff>800100</xdr:rowOff>
    </xdr:to>
    <xdr:sp macro="" textlink="">
      <xdr:nvSpPr>
        <xdr:cNvPr id="2158" name="Имя " descr="Descr 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1188</xdr:row>
      <xdr:rowOff>647700</xdr:rowOff>
    </xdr:from>
    <xdr:to>
      <xdr:col>3</xdr:col>
      <xdr:colOff>180975</xdr:colOff>
      <xdr:row>1188</xdr:row>
      <xdr:rowOff>800100</xdr:rowOff>
    </xdr:to>
    <xdr:sp macro="" textlink="">
      <xdr:nvSpPr>
        <xdr:cNvPr id="2160" name="Имя " descr="Descr 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1189</xdr:row>
      <xdr:rowOff>647700</xdr:rowOff>
    </xdr:from>
    <xdr:to>
      <xdr:col>3</xdr:col>
      <xdr:colOff>180975</xdr:colOff>
      <xdr:row>1189</xdr:row>
      <xdr:rowOff>800100</xdr:rowOff>
    </xdr:to>
    <xdr:sp macro="" textlink="">
      <xdr:nvSpPr>
        <xdr:cNvPr id="2162" name="Имя " descr="Descr 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1190</xdr:row>
      <xdr:rowOff>647700</xdr:rowOff>
    </xdr:from>
    <xdr:to>
      <xdr:col>3</xdr:col>
      <xdr:colOff>180975</xdr:colOff>
      <xdr:row>1190</xdr:row>
      <xdr:rowOff>800100</xdr:rowOff>
    </xdr:to>
    <xdr:sp macro="" textlink="">
      <xdr:nvSpPr>
        <xdr:cNvPr id="2164" name="Имя " descr="Descr 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1191</xdr:row>
      <xdr:rowOff>647700</xdr:rowOff>
    </xdr:from>
    <xdr:to>
      <xdr:col>3</xdr:col>
      <xdr:colOff>180975</xdr:colOff>
      <xdr:row>1191</xdr:row>
      <xdr:rowOff>800100</xdr:rowOff>
    </xdr:to>
    <xdr:sp macro="" textlink="">
      <xdr:nvSpPr>
        <xdr:cNvPr id="2166" name="Имя " descr="Descr 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1192</xdr:row>
      <xdr:rowOff>647700</xdr:rowOff>
    </xdr:from>
    <xdr:to>
      <xdr:col>3</xdr:col>
      <xdr:colOff>180975</xdr:colOff>
      <xdr:row>1192</xdr:row>
      <xdr:rowOff>800100</xdr:rowOff>
    </xdr:to>
    <xdr:sp macro="" textlink="">
      <xdr:nvSpPr>
        <xdr:cNvPr id="2168" name="Имя " descr="Descr 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1193</xdr:row>
      <xdr:rowOff>647700</xdr:rowOff>
    </xdr:from>
    <xdr:to>
      <xdr:col>3</xdr:col>
      <xdr:colOff>180975</xdr:colOff>
      <xdr:row>1193</xdr:row>
      <xdr:rowOff>800100</xdr:rowOff>
    </xdr:to>
    <xdr:sp macro="" textlink="">
      <xdr:nvSpPr>
        <xdr:cNvPr id="2170" name="Имя " descr="Descr 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1194</xdr:row>
      <xdr:rowOff>647700</xdr:rowOff>
    </xdr:from>
    <xdr:to>
      <xdr:col>3</xdr:col>
      <xdr:colOff>180975</xdr:colOff>
      <xdr:row>1194</xdr:row>
      <xdr:rowOff>800100</xdr:rowOff>
    </xdr:to>
    <xdr:sp macro="" textlink="">
      <xdr:nvSpPr>
        <xdr:cNvPr id="2172" name="Имя " descr="Descr 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1195</xdr:row>
      <xdr:rowOff>647700</xdr:rowOff>
    </xdr:from>
    <xdr:to>
      <xdr:col>3</xdr:col>
      <xdr:colOff>180975</xdr:colOff>
      <xdr:row>1195</xdr:row>
      <xdr:rowOff>800100</xdr:rowOff>
    </xdr:to>
    <xdr:sp macro="" textlink="">
      <xdr:nvSpPr>
        <xdr:cNvPr id="2174" name="Имя " descr="Descr 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1196</xdr:row>
      <xdr:rowOff>647700</xdr:rowOff>
    </xdr:from>
    <xdr:to>
      <xdr:col>3</xdr:col>
      <xdr:colOff>180975</xdr:colOff>
      <xdr:row>1196</xdr:row>
      <xdr:rowOff>800100</xdr:rowOff>
    </xdr:to>
    <xdr:sp macro="" textlink="">
      <xdr:nvSpPr>
        <xdr:cNvPr id="2176" name="Имя " descr="Descr 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1197</xdr:row>
      <xdr:rowOff>647700</xdr:rowOff>
    </xdr:from>
    <xdr:to>
      <xdr:col>3</xdr:col>
      <xdr:colOff>180975</xdr:colOff>
      <xdr:row>1197</xdr:row>
      <xdr:rowOff>800100</xdr:rowOff>
    </xdr:to>
    <xdr:sp macro="" textlink="">
      <xdr:nvSpPr>
        <xdr:cNvPr id="2178" name="Имя " descr="Descr 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1198</xdr:row>
      <xdr:rowOff>647700</xdr:rowOff>
    </xdr:from>
    <xdr:to>
      <xdr:col>3</xdr:col>
      <xdr:colOff>180975</xdr:colOff>
      <xdr:row>1198</xdr:row>
      <xdr:rowOff>800100</xdr:rowOff>
    </xdr:to>
    <xdr:sp macro="" textlink="">
      <xdr:nvSpPr>
        <xdr:cNvPr id="2180" name="Имя " descr="Descr 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1199</xdr:row>
      <xdr:rowOff>647700</xdr:rowOff>
    </xdr:from>
    <xdr:to>
      <xdr:col>3</xdr:col>
      <xdr:colOff>180975</xdr:colOff>
      <xdr:row>1199</xdr:row>
      <xdr:rowOff>800100</xdr:rowOff>
    </xdr:to>
    <xdr:sp macro="" textlink="">
      <xdr:nvSpPr>
        <xdr:cNvPr id="2182" name="Имя " descr="Descr 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1200</xdr:row>
      <xdr:rowOff>647700</xdr:rowOff>
    </xdr:from>
    <xdr:to>
      <xdr:col>3</xdr:col>
      <xdr:colOff>180975</xdr:colOff>
      <xdr:row>1200</xdr:row>
      <xdr:rowOff>800100</xdr:rowOff>
    </xdr:to>
    <xdr:sp macro="" textlink="">
      <xdr:nvSpPr>
        <xdr:cNvPr id="2184" name="Имя " descr="Descr 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1202</xdr:row>
      <xdr:rowOff>647700</xdr:rowOff>
    </xdr:from>
    <xdr:to>
      <xdr:col>3</xdr:col>
      <xdr:colOff>180975</xdr:colOff>
      <xdr:row>1202</xdr:row>
      <xdr:rowOff>800100</xdr:rowOff>
    </xdr:to>
    <xdr:sp macro="" textlink="">
      <xdr:nvSpPr>
        <xdr:cNvPr id="2186" name="Имя " descr="Descr 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1203</xdr:row>
      <xdr:rowOff>647700</xdr:rowOff>
    </xdr:from>
    <xdr:to>
      <xdr:col>3</xdr:col>
      <xdr:colOff>180975</xdr:colOff>
      <xdr:row>1203</xdr:row>
      <xdr:rowOff>800100</xdr:rowOff>
    </xdr:to>
    <xdr:sp macro="" textlink="">
      <xdr:nvSpPr>
        <xdr:cNvPr id="2188" name="Имя " descr="Descr 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1204</xdr:row>
      <xdr:rowOff>647700</xdr:rowOff>
    </xdr:from>
    <xdr:to>
      <xdr:col>3</xdr:col>
      <xdr:colOff>180975</xdr:colOff>
      <xdr:row>1204</xdr:row>
      <xdr:rowOff>800100</xdr:rowOff>
    </xdr:to>
    <xdr:sp macro="" textlink="">
      <xdr:nvSpPr>
        <xdr:cNvPr id="2190" name="Имя " descr="Descr 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1205</xdr:row>
      <xdr:rowOff>647700</xdr:rowOff>
    </xdr:from>
    <xdr:to>
      <xdr:col>3</xdr:col>
      <xdr:colOff>180975</xdr:colOff>
      <xdr:row>1205</xdr:row>
      <xdr:rowOff>800100</xdr:rowOff>
    </xdr:to>
    <xdr:sp macro="" textlink="">
      <xdr:nvSpPr>
        <xdr:cNvPr id="2192" name="Имя " descr="Descr 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1206</xdr:row>
      <xdr:rowOff>647700</xdr:rowOff>
    </xdr:from>
    <xdr:to>
      <xdr:col>3</xdr:col>
      <xdr:colOff>180975</xdr:colOff>
      <xdr:row>1206</xdr:row>
      <xdr:rowOff>800100</xdr:rowOff>
    </xdr:to>
    <xdr:sp macro="" textlink="">
      <xdr:nvSpPr>
        <xdr:cNvPr id="2194" name="Имя " descr="Descr 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1207</xdr:row>
      <xdr:rowOff>647700</xdr:rowOff>
    </xdr:from>
    <xdr:to>
      <xdr:col>3</xdr:col>
      <xdr:colOff>180975</xdr:colOff>
      <xdr:row>1207</xdr:row>
      <xdr:rowOff>800100</xdr:rowOff>
    </xdr:to>
    <xdr:sp macro="" textlink="">
      <xdr:nvSpPr>
        <xdr:cNvPr id="2196" name="Имя " descr="Descr 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1208</xdr:row>
      <xdr:rowOff>647700</xdr:rowOff>
    </xdr:from>
    <xdr:to>
      <xdr:col>3</xdr:col>
      <xdr:colOff>180975</xdr:colOff>
      <xdr:row>1208</xdr:row>
      <xdr:rowOff>800100</xdr:rowOff>
    </xdr:to>
    <xdr:sp macro="" textlink="">
      <xdr:nvSpPr>
        <xdr:cNvPr id="2198" name="Имя " descr="Descr 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1209</xdr:row>
      <xdr:rowOff>647700</xdr:rowOff>
    </xdr:from>
    <xdr:to>
      <xdr:col>3</xdr:col>
      <xdr:colOff>180975</xdr:colOff>
      <xdr:row>1209</xdr:row>
      <xdr:rowOff>800100</xdr:rowOff>
    </xdr:to>
    <xdr:sp macro="" textlink="">
      <xdr:nvSpPr>
        <xdr:cNvPr id="2200" name="Имя " descr="Descr 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1210</xdr:row>
      <xdr:rowOff>647700</xdr:rowOff>
    </xdr:from>
    <xdr:to>
      <xdr:col>3</xdr:col>
      <xdr:colOff>180975</xdr:colOff>
      <xdr:row>1210</xdr:row>
      <xdr:rowOff>800100</xdr:rowOff>
    </xdr:to>
    <xdr:sp macro="" textlink="">
      <xdr:nvSpPr>
        <xdr:cNvPr id="2202" name="Имя " descr="Descr 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1211</xdr:row>
      <xdr:rowOff>647700</xdr:rowOff>
    </xdr:from>
    <xdr:to>
      <xdr:col>3</xdr:col>
      <xdr:colOff>180975</xdr:colOff>
      <xdr:row>1211</xdr:row>
      <xdr:rowOff>800100</xdr:rowOff>
    </xdr:to>
    <xdr:sp macro="" textlink="">
      <xdr:nvSpPr>
        <xdr:cNvPr id="2204" name="Имя " descr="Descr 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1212</xdr:row>
      <xdr:rowOff>647700</xdr:rowOff>
    </xdr:from>
    <xdr:to>
      <xdr:col>3</xdr:col>
      <xdr:colOff>180975</xdr:colOff>
      <xdr:row>1212</xdr:row>
      <xdr:rowOff>800100</xdr:rowOff>
    </xdr:to>
    <xdr:sp macro="" textlink="">
      <xdr:nvSpPr>
        <xdr:cNvPr id="2206" name="Имя " descr="Descr 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1213</xdr:row>
      <xdr:rowOff>647700</xdr:rowOff>
    </xdr:from>
    <xdr:to>
      <xdr:col>3</xdr:col>
      <xdr:colOff>180975</xdr:colOff>
      <xdr:row>1213</xdr:row>
      <xdr:rowOff>800100</xdr:rowOff>
    </xdr:to>
    <xdr:sp macro="" textlink="">
      <xdr:nvSpPr>
        <xdr:cNvPr id="2208" name="Имя " descr="Descr 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1214</xdr:row>
      <xdr:rowOff>647700</xdr:rowOff>
    </xdr:from>
    <xdr:to>
      <xdr:col>3</xdr:col>
      <xdr:colOff>180975</xdr:colOff>
      <xdr:row>1214</xdr:row>
      <xdr:rowOff>800100</xdr:rowOff>
    </xdr:to>
    <xdr:sp macro="" textlink="">
      <xdr:nvSpPr>
        <xdr:cNvPr id="2210" name="Имя " descr="Descr 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1215</xdr:row>
      <xdr:rowOff>647700</xdr:rowOff>
    </xdr:from>
    <xdr:to>
      <xdr:col>3</xdr:col>
      <xdr:colOff>180975</xdr:colOff>
      <xdr:row>1215</xdr:row>
      <xdr:rowOff>800100</xdr:rowOff>
    </xdr:to>
    <xdr:sp macro="" textlink="">
      <xdr:nvSpPr>
        <xdr:cNvPr id="2212" name="Имя " descr="Descr 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1216</xdr:row>
      <xdr:rowOff>647700</xdr:rowOff>
    </xdr:from>
    <xdr:to>
      <xdr:col>3</xdr:col>
      <xdr:colOff>180975</xdr:colOff>
      <xdr:row>1216</xdr:row>
      <xdr:rowOff>800100</xdr:rowOff>
    </xdr:to>
    <xdr:sp macro="" textlink="">
      <xdr:nvSpPr>
        <xdr:cNvPr id="2214" name="Имя " descr="Descr 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1217</xdr:row>
      <xdr:rowOff>647700</xdr:rowOff>
    </xdr:from>
    <xdr:to>
      <xdr:col>3</xdr:col>
      <xdr:colOff>180975</xdr:colOff>
      <xdr:row>1217</xdr:row>
      <xdr:rowOff>800100</xdr:rowOff>
    </xdr:to>
    <xdr:sp macro="" textlink="">
      <xdr:nvSpPr>
        <xdr:cNvPr id="2216" name="Имя " descr="Descr 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1219</xdr:row>
      <xdr:rowOff>647700</xdr:rowOff>
    </xdr:from>
    <xdr:to>
      <xdr:col>3</xdr:col>
      <xdr:colOff>180975</xdr:colOff>
      <xdr:row>1219</xdr:row>
      <xdr:rowOff>800100</xdr:rowOff>
    </xdr:to>
    <xdr:sp macro="" textlink="">
      <xdr:nvSpPr>
        <xdr:cNvPr id="2218" name="Имя " descr="Descr 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1220</xdr:row>
      <xdr:rowOff>647700</xdr:rowOff>
    </xdr:from>
    <xdr:to>
      <xdr:col>3</xdr:col>
      <xdr:colOff>180975</xdr:colOff>
      <xdr:row>1220</xdr:row>
      <xdr:rowOff>800100</xdr:rowOff>
    </xdr:to>
    <xdr:sp macro="" textlink="">
      <xdr:nvSpPr>
        <xdr:cNvPr id="2220" name="Имя " descr="Descr 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1221</xdr:row>
      <xdr:rowOff>647700</xdr:rowOff>
    </xdr:from>
    <xdr:to>
      <xdr:col>3</xdr:col>
      <xdr:colOff>180975</xdr:colOff>
      <xdr:row>1221</xdr:row>
      <xdr:rowOff>800100</xdr:rowOff>
    </xdr:to>
    <xdr:sp macro="" textlink="">
      <xdr:nvSpPr>
        <xdr:cNvPr id="2222" name="Имя " descr="Descr 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1222</xdr:row>
      <xdr:rowOff>647700</xdr:rowOff>
    </xdr:from>
    <xdr:to>
      <xdr:col>3</xdr:col>
      <xdr:colOff>180975</xdr:colOff>
      <xdr:row>1222</xdr:row>
      <xdr:rowOff>800100</xdr:rowOff>
    </xdr:to>
    <xdr:sp macro="" textlink="">
      <xdr:nvSpPr>
        <xdr:cNvPr id="2224" name="Имя " descr="Descr 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1223</xdr:row>
      <xdr:rowOff>647700</xdr:rowOff>
    </xdr:from>
    <xdr:to>
      <xdr:col>3</xdr:col>
      <xdr:colOff>180975</xdr:colOff>
      <xdr:row>1223</xdr:row>
      <xdr:rowOff>800100</xdr:rowOff>
    </xdr:to>
    <xdr:sp macro="" textlink="">
      <xdr:nvSpPr>
        <xdr:cNvPr id="2226" name="Имя " descr="Descr 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1224</xdr:row>
      <xdr:rowOff>647700</xdr:rowOff>
    </xdr:from>
    <xdr:to>
      <xdr:col>3</xdr:col>
      <xdr:colOff>180975</xdr:colOff>
      <xdr:row>1224</xdr:row>
      <xdr:rowOff>800100</xdr:rowOff>
    </xdr:to>
    <xdr:sp macro="" textlink="">
      <xdr:nvSpPr>
        <xdr:cNvPr id="2228" name="Имя " descr="Descr 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1225</xdr:row>
      <xdr:rowOff>647700</xdr:rowOff>
    </xdr:from>
    <xdr:to>
      <xdr:col>3</xdr:col>
      <xdr:colOff>180975</xdr:colOff>
      <xdr:row>1225</xdr:row>
      <xdr:rowOff>800100</xdr:rowOff>
    </xdr:to>
    <xdr:sp macro="" textlink="">
      <xdr:nvSpPr>
        <xdr:cNvPr id="2230" name="Имя " descr="Descr 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1227</xdr:row>
      <xdr:rowOff>647700</xdr:rowOff>
    </xdr:from>
    <xdr:to>
      <xdr:col>3</xdr:col>
      <xdr:colOff>180975</xdr:colOff>
      <xdr:row>1227</xdr:row>
      <xdr:rowOff>800100</xdr:rowOff>
    </xdr:to>
    <xdr:sp macro="" textlink="">
      <xdr:nvSpPr>
        <xdr:cNvPr id="2232" name="Имя " descr="Descr 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1228</xdr:row>
      <xdr:rowOff>647700</xdr:rowOff>
    </xdr:from>
    <xdr:to>
      <xdr:col>3</xdr:col>
      <xdr:colOff>180975</xdr:colOff>
      <xdr:row>1228</xdr:row>
      <xdr:rowOff>800100</xdr:rowOff>
    </xdr:to>
    <xdr:sp macro="" textlink="">
      <xdr:nvSpPr>
        <xdr:cNvPr id="2234" name="Имя " descr="Descr 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1229</xdr:row>
      <xdr:rowOff>647700</xdr:rowOff>
    </xdr:from>
    <xdr:to>
      <xdr:col>3</xdr:col>
      <xdr:colOff>180975</xdr:colOff>
      <xdr:row>1229</xdr:row>
      <xdr:rowOff>800100</xdr:rowOff>
    </xdr:to>
    <xdr:sp macro="" textlink="">
      <xdr:nvSpPr>
        <xdr:cNvPr id="2236" name="Имя " descr="Descr 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1230</xdr:row>
      <xdr:rowOff>647700</xdr:rowOff>
    </xdr:from>
    <xdr:to>
      <xdr:col>3</xdr:col>
      <xdr:colOff>180975</xdr:colOff>
      <xdr:row>1230</xdr:row>
      <xdr:rowOff>800100</xdr:rowOff>
    </xdr:to>
    <xdr:sp macro="" textlink="">
      <xdr:nvSpPr>
        <xdr:cNvPr id="2238" name="Имя " descr="Descr 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1231</xdr:row>
      <xdr:rowOff>647700</xdr:rowOff>
    </xdr:from>
    <xdr:to>
      <xdr:col>3</xdr:col>
      <xdr:colOff>180975</xdr:colOff>
      <xdr:row>1231</xdr:row>
      <xdr:rowOff>800100</xdr:rowOff>
    </xdr:to>
    <xdr:sp macro="" textlink="">
      <xdr:nvSpPr>
        <xdr:cNvPr id="2240" name="Имя " descr="Descr 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1232</xdr:row>
      <xdr:rowOff>647700</xdr:rowOff>
    </xdr:from>
    <xdr:to>
      <xdr:col>3</xdr:col>
      <xdr:colOff>180975</xdr:colOff>
      <xdr:row>1232</xdr:row>
      <xdr:rowOff>800100</xdr:rowOff>
    </xdr:to>
    <xdr:sp macro="" textlink="">
      <xdr:nvSpPr>
        <xdr:cNvPr id="2242" name="Имя " descr="Descr 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1233</xdr:row>
      <xdr:rowOff>647700</xdr:rowOff>
    </xdr:from>
    <xdr:to>
      <xdr:col>3</xdr:col>
      <xdr:colOff>180975</xdr:colOff>
      <xdr:row>1233</xdr:row>
      <xdr:rowOff>800100</xdr:rowOff>
    </xdr:to>
    <xdr:sp macro="" textlink="">
      <xdr:nvSpPr>
        <xdr:cNvPr id="2244" name="Имя " descr="Descr 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1234</xdr:row>
      <xdr:rowOff>647700</xdr:rowOff>
    </xdr:from>
    <xdr:to>
      <xdr:col>3</xdr:col>
      <xdr:colOff>180975</xdr:colOff>
      <xdr:row>1234</xdr:row>
      <xdr:rowOff>800100</xdr:rowOff>
    </xdr:to>
    <xdr:sp macro="" textlink="">
      <xdr:nvSpPr>
        <xdr:cNvPr id="2246" name="Имя " descr="Descr 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1235</xdr:row>
      <xdr:rowOff>647700</xdr:rowOff>
    </xdr:from>
    <xdr:to>
      <xdr:col>3</xdr:col>
      <xdr:colOff>180975</xdr:colOff>
      <xdr:row>1235</xdr:row>
      <xdr:rowOff>800100</xdr:rowOff>
    </xdr:to>
    <xdr:sp macro="" textlink="">
      <xdr:nvSpPr>
        <xdr:cNvPr id="2248" name="Имя " descr="Descr 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1236</xdr:row>
      <xdr:rowOff>647700</xdr:rowOff>
    </xdr:from>
    <xdr:to>
      <xdr:col>3</xdr:col>
      <xdr:colOff>180975</xdr:colOff>
      <xdr:row>1236</xdr:row>
      <xdr:rowOff>800100</xdr:rowOff>
    </xdr:to>
    <xdr:sp macro="" textlink="">
      <xdr:nvSpPr>
        <xdr:cNvPr id="2250" name="Имя " descr="Descr 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1237</xdr:row>
      <xdr:rowOff>647700</xdr:rowOff>
    </xdr:from>
    <xdr:to>
      <xdr:col>3</xdr:col>
      <xdr:colOff>180975</xdr:colOff>
      <xdr:row>1237</xdr:row>
      <xdr:rowOff>800100</xdr:rowOff>
    </xdr:to>
    <xdr:sp macro="" textlink="">
      <xdr:nvSpPr>
        <xdr:cNvPr id="2252" name="Имя " descr="Descr 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1240</xdr:row>
      <xdr:rowOff>647700</xdr:rowOff>
    </xdr:from>
    <xdr:to>
      <xdr:col>3</xdr:col>
      <xdr:colOff>180975</xdr:colOff>
      <xdr:row>1240</xdr:row>
      <xdr:rowOff>800100</xdr:rowOff>
    </xdr:to>
    <xdr:sp macro="" textlink="">
      <xdr:nvSpPr>
        <xdr:cNvPr id="2254" name="Имя " descr="Descr 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1241</xdr:row>
      <xdr:rowOff>647700</xdr:rowOff>
    </xdr:from>
    <xdr:to>
      <xdr:col>3</xdr:col>
      <xdr:colOff>180975</xdr:colOff>
      <xdr:row>1241</xdr:row>
      <xdr:rowOff>800100</xdr:rowOff>
    </xdr:to>
    <xdr:sp macro="" textlink="">
      <xdr:nvSpPr>
        <xdr:cNvPr id="2256" name="Имя " descr="Descr 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1243</xdr:row>
      <xdr:rowOff>647700</xdr:rowOff>
    </xdr:from>
    <xdr:to>
      <xdr:col>3</xdr:col>
      <xdr:colOff>180975</xdr:colOff>
      <xdr:row>1243</xdr:row>
      <xdr:rowOff>800100</xdr:rowOff>
    </xdr:to>
    <xdr:sp macro="" textlink="">
      <xdr:nvSpPr>
        <xdr:cNvPr id="2258" name="Имя " descr="Descr 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1244</xdr:row>
      <xdr:rowOff>647700</xdr:rowOff>
    </xdr:from>
    <xdr:to>
      <xdr:col>3</xdr:col>
      <xdr:colOff>180975</xdr:colOff>
      <xdr:row>1244</xdr:row>
      <xdr:rowOff>800100</xdr:rowOff>
    </xdr:to>
    <xdr:sp macro="" textlink="">
      <xdr:nvSpPr>
        <xdr:cNvPr id="2260" name="Имя " descr="Descr 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1245</xdr:row>
      <xdr:rowOff>647700</xdr:rowOff>
    </xdr:from>
    <xdr:to>
      <xdr:col>3</xdr:col>
      <xdr:colOff>180975</xdr:colOff>
      <xdr:row>1245</xdr:row>
      <xdr:rowOff>800100</xdr:rowOff>
    </xdr:to>
    <xdr:sp macro="" textlink="">
      <xdr:nvSpPr>
        <xdr:cNvPr id="2262" name="Имя " descr="Descr 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1246</xdr:row>
      <xdr:rowOff>647700</xdr:rowOff>
    </xdr:from>
    <xdr:to>
      <xdr:col>3</xdr:col>
      <xdr:colOff>180975</xdr:colOff>
      <xdr:row>1246</xdr:row>
      <xdr:rowOff>800100</xdr:rowOff>
    </xdr:to>
    <xdr:sp macro="" textlink="">
      <xdr:nvSpPr>
        <xdr:cNvPr id="2264" name="Имя " descr="Descr 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1247</xdr:row>
      <xdr:rowOff>647700</xdr:rowOff>
    </xdr:from>
    <xdr:to>
      <xdr:col>3</xdr:col>
      <xdr:colOff>180975</xdr:colOff>
      <xdr:row>1247</xdr:row>
      <xdr:rowOff>800100</xdr:rowOff>
    </xdr:to>
    <xdr:sp macro="" textlink="">
      <xdr:nvSpPr>
        <xdr:cNvPr id="2266" name="Имя " descr="Descr 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1248</xdr:row>
      <xdr:rowOff>647700</xdr:rowOff>
    </xdr:from>
    <xdr:to>
      <xdr:col>3</xdr:col>
      <xdr:colOff>180975</xdr:colOff>
      <xdr:row>1248</xdr:row>
      <xdr:rowOff>800100</xdr:rowOff>
    </xdr:to>
    <xdr:sp macro="" textlink="">
      <xdr:nvSpPr>
        <xdr:cNvPr id="2268" name="Имя " descr="Descr 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1250</xdr:row>
      <xdr:rowOff>647700</xdr:rowOff>
    </xdr:from>
    <xdr:to>
      <xdr:col>3</xdr:col>
      <xdr:colOff>180975</xdr:colOff>
      <xdr:row>1250</xdr:row>
      <xdr:rowOff>800100</xdr:rowOff>
    </xdr:to>
    <xdr:pic>
      <xdr:nvPicPr>
        <xdr:cNvPr id="2270" name="Имя " descr="Descr 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19050</xdr:colOff>
      <xdr:row>1251</xdr:row>
      <xdr:rowOff>647700</xdr:rowOff>
    </xdr:from>
    <xdr:to>
      <xdr:col>3</xdr:col>
      <xdr:colOff>180975</xdr:colOff>
      <xdr:row>1251</xdr:row>
      <xdr:rowOff>800100</xdr:rowOff>
    </xdr:to>
    <xdr:pic>
      <xdr:nvPicPr>
        <xdr:cNvPr id="2272" name="Имя " descr="Descr 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19050</xdr:colOff>
      <xdr:row>1252</xdr:row>
      <xdr:rowOff>647700</xdr:rowOff>
    </xdr:from>
    <xdr:to>
      <xdr:col>3</xdr:col>
      <xdr:colOff>180975</xdr:colOff>
      <xdr:row>1252</xdr:row>
      <xdr:rowOff>800100</xdr:rowOff>
    </xdr:to>
    <xdr:pic>
      <xdr:nvPicPr>
        <xdr:cNvPr id="2274" name="Имя " descr="Descr 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19050</xdr:colOff>
      <xdr:row>1253</xdr:row>
      <xdr:rowOff>647700</xdr:rowOff>
    </xdr:from>
    <xdr:to>
      <xdr:col>3</xdr:col>
      <xdr:colOff>180975</xdr:colOff>
      <xdr:row>1253</xdr:row>
      <xdr:rowOff>800100</xdr:rowOff>
    </xdr:to>
    <xdr:pic>
      <xdr:nvPicPr>
        <xdr:cNvPr id="2276" name="Имя " descr="Descr 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19050</xdr:colOff>
      <xdr:row>1254</xdr:row>
      <xdr:rowOff>647700</xdr:rowOff>
    </xdr:from>
    <xdr:to>
      <xdr:col>3</xdr:col>
      <xdr:colOff>180975</xdr:colOff>
      <xdr:row>1254</xdr:row>
      <xdr:rowOff>800100</xdr:rowOff>
    </xdr:to>
    <xdr:pic>
      <xdr:nvPicPr>
        <xdr:cNvPr id="2278" name="Имя " descr="Descr 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19050</xdr:colOff>
      <xdr:row>1256</xdr:row>
      <xdr:rowOff>647700</xdr:rowOff>
    </xdr:from>
    <xdr:to>
      <xdr:col>3</xdr:col>
      <xdr:colOff>180975</xdr:colOff>
      <xdr:row>1256</xdr:row>
      <xdr:rowOff>800100</xdr:rowOff>
    </xdr:to>
    <xdr:sp macro="" textlink="">
      <xdr:nvSpPr>
        <xdr:cNvPr id="2280" name="Имя " descr="Descr 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1257</xdr:row>
      <xdr:rowOff>647700</xdr:rowOff>
    </xdr:from>
    <xdr:to>
      <xdr:col>3</xdr:col>
      <xdr:colOff>180975</xdr:colOff>
      <xdr:row>1257</xdr:row>
      <xdr:rowOff>800100</xdr:rowOff>
    </xdr:to>
    <xdr:sp macro="" textlink="">
      <xdr:nvSpPr>
        <xdr:cNvPr id="2282" name="Имя " descr="Descr 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1258</xdr:row>
      <xdr:rowOff>647700</xdr:rowOff>
    </xdr:from>
    <xdr:to>
      <xdr:col>3</xdr:col>
      <xdr:colOff>180975</xdr:colOff>
      <xdr:row>1258</xdr:row>
      <xdr:rowOff>800100</xdr:rowOff>
    </xdr:to>
    <xdr:sp macro="" textlink="">
      <xdr:nvSpPr>
        <xdr:cNvPr id="2284" name="Имя " descr="Descr 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1259</xdr:row>
      <xdr:rowOff>647700</xdr:rowOff>
    </xdr:from>
    <xdr:to>
      <xdr:col>3</xdr:col>
      <xdr:colOff>180975</xdr:colOff>
      <xdr:row>1259</xdr:row>
      <xdr:rowOff>800100</xdr:rowOff>
    </xdr:to>
    <xdr:sp macro="" textlink="">
      <xdr:nvSpPr>
        <xdr:cNvPr id="2286" name="Имя " descr="Descr 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1260</xdr:row>
      <xdr:rowOff>647700</xdr:rowOff>
    </xdr:from>
    <xdr:to>
      <xdr:col>3</xdr:col>
      <xdr:colOff>180975</xdr:colOff>
      <xdr:row>1260</xdr:row>
      <xdr:rowOff>800100</xdr:rowOff>
    </xdr:to>
    <xdr:sp macro="" textlink="">
      <xdr:nvSpPr>
        <xdr:cNvPr id="2288" name="Имя " descr="Descr 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1261</xdr:row>
      <xdr:rowOff>647700</xdr:rowOff>
    </xdr:from>
    <xdr:to>
      <xdr:col>3</xdr:col>
      <xdr:colOff>180975</xdr:colOff>
      <xdr:row>1261</xdr:row>
      <xdr:rowOff>800100</xdr:rowOff>
    </xdr:to>
    <xdr:sp macro="" textlink="">
      <xdr:nvSpPr>
        <xdr:cNvPr id="2290" name="Имя " descr="Descr 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1262</xdr:row>
      <xdr:rowOff>647700</xdr:rowOff>
    </xdr:from>
    <xdr:to>
      <xdr:col>3</xdr:col>
      <xdr:colOff>180975</xdr:colOff>
      <xdr:row>1262</xdr:row>
      <xdr:rowOff>800100</xdr:rowOff>
    </xdr:to>
    <xdr:sp macro="" textlink="">
      <xdr:nvSpPr>
        <xdr:cNvPr id="2292" name="Имя " descr="Descr 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1264</xdr:row>
      <xdr:rowOff>647700</xdr:rowOff>
    </xdr:from>
    <xdr:to>
      <xdr:col>3</xdr:col>
      <xdr:colOff>180975</xdr:colOff>
      <xdr:row>1264</xdr:row>
      <xdr:rowOff>800100</xdr:rowOff>
    </xdr:to>
    <xdr:sp macro="" textlink="">
      <xdr:nvSpPr>
        <xdr:cNvPr id="2294" name="Имя " descr="Descr 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1266</xdr:row>
      <xdr:rowOff>647700</xdr:rowOff>
    </xdr:from>
    <xdr:to>
      <xdr:col>3</xdr:col>
      <xdr:colOff>180975</xdr:colOff>
      <xdr:row>1266</xdr:row>
      <xdr:rowOff>800100</xdr:rowOff>
    </xdr:to>
    <xdr:sp macro="" textlink="">
      <xdr:nvSpPr>
        <xdr:cNvPr id="2296" name="Имя " descr="Descr 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1267</xdr:row>
      <xdr:rowOff>647700</xdr:rowOff>
    </xdr:from>
    <xdr:to>
      <xdr:col>3</xdr:col>
      <xdr:colOff>180975</xdr:colOff>
      <xdr:row>1267</xdr:row>
      <xdr:rowOff>800100</xdr:rowOff>
    </xdr:to>
    <xdr:sp macro="" textlink="">
      <xdr:nvSpPr>
        <xdr:cNvPr id="2298" name="Имя " descr="Descr 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1268</xdr:row>
      <xdr:rowOff>647700</xdr:rowOff>
    </xdr:from>
    <xdr:to>
      <xdr:col>3</xdr:col>
      <xdr:colOff>180975</xdr:colOff>
      <xdr:row>1268</xdr:row>
      <xdr:rowOff>800100</xdr:rowOff>
    </xdr:to>
    <xdr:sp macro="" textlink="">
      <xdr:nvSpPr>
        <xdr:cNvPr id="2300" name="Имя " descr="Descr 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1269</xdr:row>
      <xdr:rowOff>647700</xdr:rowOff>
    </xdr:from>
    <xdr:to>
      <xdr:col>3</xdr:col>
      <xdr:colOff>180975</xdr:colOff>
      <xdr:row>1269</xdr:row>
      <xdr:rowOff>800100</xdr:rowOff>
    </xdr:to>
    <xdr:sp macro="" textlink="">
      <xdr:nvSpPr>
        <xdr:cNvPr id="2302" name="Имя " descr="Descr 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1270</xdr:row>
      <xdr:rowOff>647700</xdr:rowOff>
    </xdr:from>
    <xdr:to>
      <xdr:col>3</xdr:col>
      <xdr:colOff>180975</xdr:colOff>
      <xdr:row>1270</xdr:row>
      <xdr:rowOff>800100</xdr:rowOff>
    </xdr:to>
    <xdr:sp macro="" textlink="">
      <xdr:nvSpPr>
        <xdr:cNvPr id="2304" name="Имя " descr="Descr 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1272</xdr:row>
      <xdr:rowOff>647700</xdr:rowOff>
    </xdr:from>
    <xdr:to>
      <xdr:col>3</xdr:col>
      <xdr:colOff>180975</xdr:colOff>
      <xdr:row>1272</xdr:row>
      <xdr:rowOff>800100</xdr:rowOff>
    </xdr:to>
    <xdr:sp macro="" textlink="">
      <xdr:nvSpPr>
        <xdr:cNvPr id="2306" name="Имя " descr="Descr 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1274</xdr:row>
      <xdr:rowOff>647700</xdr:rowOff>
    </xdr:from>
    <xdr:to>
      <xdr:col>3</xdr:col>
      <xdr:colOff>180975</xdr:colOff>
      <xdr:row>1274</xdr:row>
      <xdr:rowOff>800100</xdr:rowOff>
    </xdr:to>
    <xdr:sp macro="" textlink="">
      <xdr:nvSpPr>
        <xdr:cNvPr id="2308" name="Имя " descr="Descr 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1275</xdr:row>
      <xdr:rowOff>647700</xdr:rowOff>
    </xdr:from>
    <xdr:to>
      <xdr:col>3</xdr:col>
      <xdr:colOff>180975</xdr:colOff>
      <xdr:row>1275</xdr:row>
      <xdr:rowOff>800100</xdr:rowOff>
    </xdr:to>
    <xdr:sp macro="" textlink="">
      <xdr:nvSpPr>
        <xdr:cNvPr id="2310" name="Имя " descr="Descr 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1276</xdr:row>
      <xdr:rowOff>647700</xdr:rowOff>
    </xdr:from>
    <xdr:to>
      <xdr:col>3</xdr:col>
      <xdr:colOff>180975</xdr:colOff>
      <xdr:row>1276</xdr:row>
      <xdr:rowOff>800100</xdr:rowOff>
    </xdr:to>
    <xdr:sp macro="" textlink="">
      <xdr:nvSpPr>
        <xdr:cNvPr id="2312" name="Имя " descr="Descr 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1277</xdr:row>
      <xdr:rowOff>647700</xdr:rowOff>
    </xdr:from>
    <xdr:to>
      <xdr:col>3</xdr:col>
      <xdr:colOff>180975</xdr:colOff>
      <xdr:row>1277</xdr:row>
      <xdr:rowOff>800100</xdr:rowOff>
    </xdr:to>
    <xdr:sp macro="" textlink="">
      <xdr:nvSpPr>
        <xdr:cNvPr id="2314" name="Имя " descr="Descr 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1278</xdr:row>
      <xdr:rowOff>647700</xdr:rowOff>
    </xdr:from>
    <xdr:to>
      <xdr:col>3</xdr:col>
      <xdr:colOff>180975</xdr:colOff>
      <xdr:row>1278</xdr:row>
      <xdr:rowOff>800100</xdr:rowOff>
    </xdr:to>
    <xdr:sp macro="" textlink="">
      <xdr:nvSpPr>
        <xdr:cNvPr id="2316" name="Имя " descr="Descr 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1279</xdr:row>
      <xdr:rowOff>647700</xdr:rowOff>
    </xdr:from>
    <xdr:to>
      <xdr:col>3</xdr:col>
      <xdr:colOff>180975</xdr:colOff>
      <xdr:row>1279</xdr:row>
      <xdr:rowOff>800100</xdr:rowOff>
    </xdr:to>
    <xdr:sp macro="" textlink="">
      <xdr:nvSpPr>
        <xdr:cNvPr id="2318" name="Имя " descr="Descr 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1280</xdr:row>
      <xdr:rowOff>647700</xdr:rowOff>
    </xdr:from>
    <xdr:to>
      <xdr:col>3</xdr:col>
      <xdr:colOff>180975</xdr:colOff>
      <xdr:row>1280</xdr:row>
      <xdr:rowOff>800100</xdr:rowOff>
    </xdr:to>
    <xdr:sp macro="" textlink="">
      <xdr:nvSpPr>
        <xdr:cNvPr id="2320" name="Имя " descr="Descr 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1281</xdr:row>
      <xdr:rowOff>647700</xdr:rowOff>
    </xdr:from>
    <xdr:to>
      <xdr:col>3</xdr:col>
      <xdr:colOff>180975</xdr:colOff>
      <xdr:row>1281</xdr:row>
      <xdr:rowOff>800100</xdr:rowOff>
    </xdr:to>
    <xdr:sp macro="" textlink="">
      <xdr:nvSpPr>
        <xdr:cNvPr id="2322" name="Имя " descr="Descr 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1282</xdr:row>
      <xdr:rowOff>647700</xdr:rowOff>
    </xdr:from>
    <xdr:to>
      <xdr:col>3</xdr:col>
      <xdr:colOff>180975</xdr:colOff>
      <xdr:row>1282</xdr:row>
      <xdr:rowOff>800100</xdr:rowOff>
    </xdr:to>
    <xdr:sp macro="" textlink="">
      <xdr:nvSpPr>
        <xdr:cNvPr id="2324" name="Имя " descr="Descr 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1283</xdr:row>
      <xdr:rowOff>647700</xdr:rowOff>
    </xdr:from>
    <xdr:to>
      <xdr:col>3</xdr:col>
      <xdr:colOff>180975</xdr:colOff>
      <xdr:row>1283</xdr:row>
      <xdr:rowOff>800100</xdr:rowOff>
    </xdr:to>
    <xdr:sp macro="" textlink="">
      <xdr:nvSpPr>
        <xdr:cNvPr id="2326" name="Имя " descr="Descr 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1284</xdr:row>
      <xdr:rowOff>647700</xdr:rowOff>
    </xdr:from>
    <xdr:to>
      <xdr:col>3</xdr:col>
      <xdr:colOff>180975</xdr:colOff>
      <xdr:row>1284</xdr:row>
      <xdr:rowOff>800100</xdr:rowOff>
    </xdr:to>
    <xdr:sp macro="" textlink="">
      <xdr:nvSpPr>
        <xdr:cNvPr id="2328" name="Имя " descr="Descr 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1285</xdr:row>
      <xdr:rowOff>647700</xdr:rowOff>
    </xdr:from>
    <xdr:to>
      <xdr:col>3</xdr:col>
      <xdr:colOff>180975</xdr:colOff>
      <xdr:row>1285</xdr:row>
      <xdr:rowOff>800100</xdr:rowOff>
    </xdr:to>
    <xdr:sp macro="" textlink="">
      <xdr:nvSpPr>
        <xdr:cNvPr id="2330" name="Имя " descr="Descr 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1286</xdr:row>
      <xdr:rowOff>647700</xdr:rowOff>
    </xdr:from>
    <xdr:to>
      <xdr:col>3</xdr:col>
      <xdr:colOff>180975</xdr:colOff>
      <xdr:row>1286</xdr:row>
      <xdr:rowOff>800100</xdr:rowOff>
    </xdr:to>
    <xdr:sp macro="" textlink="">
      <xdr:nvSpPr>
        <xdr:cNvPr id="2332" name="Имя " descr="Descr 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1287</xdr:row>
      <xdr:rowOff>647700</xdr:rowOff>
    </xdr:from>
    <xdr:to>
      <xdr:col>3</xdr:col>
      <xdr:colOff>180975</xdr:colOff>
      <xdr:row>1287</xdr:row>
      <xdr:rowOff>800100</xdr:rowOff>
    </xdr:to>
    <xdr:sp macro="" textlink="">
      <xdr:nvSpPr>
        <xdr:cNvPr id="2334" name="Имя " descr="Descr 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1288</xdr:row>
      <xdr:rowOff>647700</xdr:rowOff>
    </xdr:from>
    <xdr:to>
      <xdr:col>3</xdr:col>
      <xdr:colOff>180975</xdr:colOff>
      <xdr:row>1288</xdr:row>
      <xdr:rowOff>800100</xdr:rowOff>
    </xdr:to>
    <xdr:sp macro="" textlink="">
      <xdr:nvSpPr>
        <xdr:cNvPr id="2336" name="Имя " descr="Descr 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1289</xdr:row>
      <xdr:rowOff>647700</xdr:rowOff>
    </xdr:from>
    <xdr:to>
      <xdr:col>3</xdr:col>
      <xdr:colOff>180975</xdr:colOff>
      <xdr:row>1289</xdr:row>
      <xdr:rowOff>800100</xdr:rowOff>
    </xdr:to>
    <xdr:sp macro="" textlink="">
      <xdr:nvSpPr>
        <xdr:cNvPr id="2338" name="Имя " descr="Descr 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1290</xdr:row>
      <xdr:rowOff>647700</xdr:rowOff>
    </xdr:from>
    <xdr:to>
      <xdr:col>3</xdr:col>
      <xdr:colOff>180975</xdr:colOff>
      <xdr:row>1290</xdr:row>
      <xdr:rowOff>800100</xdr:rowOff>
    </xdr:to>
    <xdr:sp macro="" textlink="">
      <xdr:nvSpPr>
        <xdr:cNvPr id="2340" name="Имя " descr="Descr 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1291</xdr:row>
      <xdr:rowOff>647700</xdr:rowOff>
    </xdr:from>
    <xdr:to>
      <xdr:col>3</xdr:col>
      <xdr:colOff>180975</xdr:colOff>
      <xdr:row>1291</xdr:row>
      <xdr:rowOff>800100</xdr:rowOff>
    </xdr:to>
    <xdr:sp macro="" textlink="">
      <xdr:nvSpPr>
        <xdr:cNvPr id="2342" name="Имя " descr="Descr 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1292</xdr:row>
      <xdr:rowOff>647700</xdr:rowOff>
    </xdr:from>
    <xdr:to>
      <xdr:col>3</xdr:col>
      <xdr:colOff>180975</xdr:colOff>
      <xdr:row>1292</xdr:row>
      <xdr:rowOff>800100</xdr:rowOff>
    </xdr:to>
    <xdr:sp macro="" textlink="">
      <xdr:nvSpPr>
        <xdr:cNvPr id="2344" name="Имя " descr="Descr 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1293</xdr:row>
      <xdr:rowOff>647700</xdr:rowOff>
    </xdr:from>
    <xdr:to>
      <xdr:col>3</xdr:col>
      <xdr:colOff>180975</xdr:colOff>
      <xdr:row>1293</xdr:row>
      <xdr:rowOff>800100</xdr:rowOff>
    </xdr:to>
    <xdr:sp macro="" textlink="">
      <xdr:nvSpPr>
        <xdr:cNvPr id="2346" name="Имя " descr="Descr 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1294</xdr:row>
      <xdr:rowOff>647700</xdr:rowOff>
    </xdr:from>
    <xdr:to>
      <xdr:col>3</xdr:col>
      <xdr:colOff>180975</xdr:colOff>
      <xdr:row>1294</xdr:row>
      <xdr:rowOff>800100</xdr:rowOff>
    </xdr:to>
    <xdr:sp macro="" textlink="">
      <xdr:nvSpPr>
        <xdr:cNvPr id="2348" name="Имя " descr="Descr 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1295</xdr:row>
      <xdr:rowOff>647700</xdr:rowOff>
    </xdr:from>
    <xdr:to>
      <xdr:col>3</xdr:col>
      <xdr:colOff>180975</xdr:colOff>
      <xdr:row>1295</xdr:row>
      <xdr:rowOff>800100</xdr:rowOff>
    </xdr:to>
    <xdr:sp macro="" textlink="">
      <xdr:nvSpPr>
        <xdr:cNvPr id="2350" name="Имя " descr="Descr 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1297</xdr:row>
      <xdr:rowOff>647700</xdr:rowOff>
    </xdr:from>
    <xdr:to>
      <xdr:col>3</xdr:col>
      <xdr:colOff>180975</xdr:colOff>
      <xdr:row>1297</xdr:row>
      <xdr:rowOff>800100</xdr:rowOff>
    </xdr:to>
    <xdr:sp macro="" textlink="">
      <xdr:nvSpPr>
        <xdr:cNvPr id="2352" name="Имя " descr="Descr 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1298</xdr:row>
      <xdr:rowOff>647700</xdr:rowOff>
    </xdr:from>
    <xdr:to>
      <xdr:col>3</xdr:col>
      <xdr:colOff>180975</xdr:colOff>
      <xdr:row>1298</xdr:row>
      <xdr:rowOff>800100</xdr:rowOff>
    </xdr:to>
    <xdr:sp macro="" textlink="">
      <xdr:nvSpPr>
        <xdr:cNvPr id="2354" name="Имя " descr="Descr 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1299</xdr:row>
      <xdr:rowOff>647700</xdr:rowOff>
    </xdr:from>
    <xdr:to>
      <xdr:col>3</xdr:col>
      <xdr:colOff>180975</xdr:colOff>
      <xdr:row>1299</xdr:row>
      <xdr:rowOff>800100</xdr:rowOff>
    </xdr:to>
    <xdr:sp macro="" textlink="">
      <xdr:nvSpPr>
        <xdr:cNvPr id="2356" name="Имя " descr="Descr 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1300</xdr:row>
      <xdr:rowOff>647700</xdr:rowOff>
    </xdr:from>
    <xdr:to>
      <xdr:col>3</xdr:col>
      <xdr:colOff>180975</xdr:colOff>
      <xdr:row>1300</xdr:row>
      <xdr:rowOff>800100</xdr:rowOff>
    </xdr:to>
    <xdr:sp macro="" textlink="">
      <xdr:nvSpPr>
        <xdr:cNvPr id="2358" name="Имя " descr="Descr 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1301</xdr:row>
      <xdr:rowOff>647700</xdr:rowOff>
    </xdr:from>
    <xdr:to>
      <xdr:col>3</xdr:col>
      <xdr:colOff>180975</xdr:colOff>
      <xdr:row>1301</xdr:row>
      <xdr:rowOff>800100</xdr:rowOff>
    </xdr:to>
    <xdr:sp macro="" textlink="">
      <xdr:nvSpPr>
        <xdr:cNvPr id="2360" name="Имя " descr="Descr 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1302</xdr:row>
      <xdr:rowOff>647700</xdr:rowOff>
    </xdr:from>
    <xdr:to>
      <xdr:col>3</xdr:col>
      <xdr:colOff>180975</xdr:colOff>
      <xdr:row>1302</xdr:row>
      <xdr:rowOff>800100</xdr:rowOff>
    </xdr:to>
    <xdr:sp macro="" textlink="">
      <xdr:nvSpPr>
        <xdr:cNvPr id="2362" name="Имя " descr="Descr 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1304</xdr:row>
      <xdr:rowOff>647700</xdr:rowOff>
    </xdr:from>
    <xdr:to>
      <xdr:col>3</xdr:col>
      <xdr:colOff>180975</xdr:colOff>
      <xdr:row>1304</xdr:row>
      <xdr:rowOff>800100</xdr:rowOff>
    </xdr:to>
    <xdr:sp macro="" textlink="">
      <xdr:nvSpPr>
        <xdr:cNvPr id="2364" name="Имя " descr="Descr 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1305</xdr:row>
      <xdr:rowOff>647700</xdr:rowOff>
    </xdr:from>
    <xdr:to>
      <xdr:col>3</xdr:col>
      <xdr:colOff>180975</xdr:colOff>
      <xdr:row>1305</xdr:row>
      <xdr:rowOff>800100</xdr:rowOff>
    </xdr:to>
    <xdr:sp macro="" textlink="">
      <xdr:nvSpPr>
        <xdr:cNvPr id="2366" name="Имя " descr="Descr 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1306</xdr:row>
      <xdr:rowOff>647700</xdr:rowOff>
    </xdr:from>
    <xdr:to>
      <xdr:col>3</xdr:col>
      <xdr:colOff>180975</xdr:colOff>
      <xdr:row>1306</xdr:row>
      <xdr:rowOff>800100</xdr:rowOff>
    </xdr:to>
    <xdr:sp macro="" textlink="">
      <xdr:nvSpPr>
        <xdr:cNvPr id="2368" name="Имя " descr="Descr 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1307</xdr:row>
      <xdr:rowOff>647700</xdr:rowOff>
    </xdr:from>
    <xdr:to>
      <xdr:col>3</xdr:col>
      <xdr:colOff>180975</xdr:colOff>
      <xdr:row>1307</xdr:row>
      <xdr:rowOff>800100</xdr:rowOff>
    </xdr:to>
    <xdr:sp macro="" textlink="">
      <xdr:nvSpPr>
        <xdr:cNvPr id="2370" name="Имя " descr="Descr 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1308</xdr:row>
      <xdr:rowOff>647700</xdr:rowOff>
    </xdr:from>
    <xdr:to>
      <xdr:col>3</xdr:col>
      <xdr:colOff>180975</xdr:colOff>
      <xdr:row>1308</xdr:row>
      <xdr:rowOff>800100</xdr:rowOff>
    </xdr:to>
    <xdr:sp macro="" textlink="">
      <xdr:nvSpPr>
        <xdr:cNvPr id="2372" name="Имя " descr="Descr 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1309</xdr:row>
      <xdr:rowOff>647700</xdr:rowOff>
    </xdr:from>
    <xdr:to>
      <xdr:col>3</xdr:col>
      <xdr:colOff>180975</xdr:colOff>
      <xdr:row>1309</xdr:row>
      <xdr:rowOff>800100</xdr:rowOff>
    </xdr:to>
    <xdr:sp macro="" textlink="">
      <xdr:nvSpPr>
        <xdr:cNvPr id="2374" name="Имя " descr="Descr 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1310</xdr:row>
      <xdr:rowOff>647700</xdr:rowOff>
    </xdr:from>
    <xdr:to>
      <xdr:col>3</xdr:col>
      <xdr:colOff>180975</xdr:colOff>
      <xdr:row>1310</xdr:row>
      <xdr:rowOff>800100</xdr:rowOff>
    </xdr:to>
    <xdr:sp macro="" textlink="">
      <xdr:nvSpPr>
        <xdr:cNvPr id="2376" name="Имя " descr="Descr 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1311</xdr:row>
      <xdr:rowOff>647700</xdr:rowOff>
    </xdr:from>
    <xdr:to>
      <xdr:col>3</xdr:col>
      <xdr:colOff>180975</xdr:colOff>
      <xdr:row>1311</xdr:row>
      <xdr:rowOff>800100</xdr:rowOff>
    </xdr:to>
    <xdr:sp macro="" textlink="">
      <xdr:nvSpPr>
        <xdr:cNvPr id="2378" name="Имя " descr="Descr 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1312</xdr:row>
      <xdr:rowOff>647700</xdr:rowOff>
    </xdr:from>
    <xdr:to>
      <xdr:col>3</xdr:col>
      <xdr:colOff>180975</xdr:colOff>
      <xdr:row>1312</xdr:row>
      <xdr:rowOff>800100</xdr:rowOff>
    </xdr:to>
    <xdr:sp macro="" textlink="">
      <xdr:nvSpPr>
        <xdr:cNvPr id="2380" name="Имя " descr="Descr 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1313</xdr:row>
      <xdr:rowOff>647700</xdr:rowOff>
    </xdr:from>
    <xdr:to>
      <xdr:col>3</xdr:col>
      <xdr:colOff>180975</xdr:colOff>
      <xdr:row>1313</xdr:row>
      <xdr:rowOff>800100</xdr:rowOff>
    </xdr:to>
    <xdr:sp macro="" textlink="">
      <xdr:nvSpPr>
        <xdr:cNvPr id="2382" name="Имя " descr="Descr 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1314</xdr:row>
      <xdr:rowOff>647700</xdr:rowOff>
    </xdr:from>
    <xdr:to>
      <xdr:col>3</xdr:col>
      <xdr:colOff>180975</xdr:colOff>
      <xdr:row>1314</xdr:row>
      <xdr:rowOff>800100</xdr:rowOff>
    </xdr:to>
    <xdr:sp macro="" textlink="">
      <xdr:nvSpPr>
        <xdr:cNvPr id="2384" name="Имя " descr="Descr 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1315</xdr:row>
      <xdr:rowOff>647700</xdr:rowOff>
    </xdr:from>
    <xdr:to>
      <xdr:col>3</xdr:col>
      <xdr:colOff>180975</xdr:colOff>
      <xdr:row>1315</xdr:row>
      <xdr:rowOff>800100</xdr:rowOff>
    </xdr:to>
    <xdr:sp macro="" textlink="">
      <xdr:nvSpPr>
        <xdr:cNvPr id="2386" name="Имя " descr="Descr 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1316</xdr:row>
      <xdr:rowOff>647700</xdr:rowOff>
    </xdr:from>
    <xdr:to>
      <xdr:col>3</xdr:col>
      <xdr:colOff>180975</xdr:colOff>
      <xdr:row>1316</xdr:row>
      <xdr:rowOff>800100</xdr:rowOff>
    </xdr:to>
    <xdr:sp macro="" textlink="">
      <xdr:nvSpPr>
        <xdr:cNvPr id="2388" name="Имя " descr="Descr 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1317</xdr:row>
      <xdr:rowOff>647700</xdr:rowOff>
    </xdr:from>
    <xdr:to>
      <xdr:col>3</xdr:col>
      <xdr:colOff>180975</xdr:colOff>
      <xdr:row>1317</xdr:row>
      <xdr:rowOff>800100</xdr:rowOff>
    </xdr:to>
    <xdr:sp macro="" textlink="">
      <xdr:nvSpPr>
        <xdr:cNvPr id="2390" name="Имя " descr="Descr 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1319</xdr:row>
      <xdr:rowOff>647700</xdr:rowOff>
    </xdr:from>
    <xdr:to>
      <xdr:col>3</xdr:col>
      <xdr:colOff>180975</xdr:colOff>
      <xdr:row>1319</xdr:row>
      <xdr:rowOff>800100</xdr:rowOff>
    </xdr:to>
    <xdr:sp macro="" textlink="">
      <xdr:nvSpPr>
        <xdr:cNvPr id="2392" name="Имя " descr="Descr 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1320</xdr:row>
      <xdr:rowOff>647700</xdr:rowOff>
    </xdr:from>
    <xdr:to>
      <xdr:col>3</xdr:col>
      <xdr:colOff>180975</xdr:colOff>
      <xdr:row>1320</xdr:row>
      <xdr:rowOff>800100</xdr:rowOff>
    </xdr:to>
    <xdr:sp macro="" textlink="">
      <xdr:nvSpPr>
        <xdr:cNvPr id="2394" name="Имя " descr="Descr 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1321</xdr:row>
      <xdr:rowOff>647700</xdr:rowOff>
    </xdr:from>
    <xdr:to>
      <xdr:col>3</xdr:col>
      <xdr:colOff>180975</xdr:colOff>
      <xdr:row>1321</xdr:row>
      <xdr:rowOff>800100</xdr:rowOff>
    </xdr:to>
    <xdr:sp macro="" textlink="">
      <xdr:nvSpPr>
        <xdr:cNvPr id="2396" name="Имя " descr="Descr 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1322</xdr:row>
      <xdr:rowOff>647700</xdr:rowOff>
    </xdr:from>
    <xdr:to>
      <xdr:col>3</xdr:col>
      <xdr:colOff>180975</xdr:colOff>
      <xdr:row>1322</xdr:row>
      <xdr:rowOff>800100</xdr:rowOff>
    </xdr:to>
    <xdr:sp macro="" textlink="">
      <xdr:nvSpPr>
        <xdr:cNvPr id="2398" name="Имя " descr="Descr 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1323</xdr:row>
      <xdr:rowOff>647700</xdr:rowOff>
    </xdr:from>
    <xdr:to>
      <xdr:col>3</xdr:col>
      <xdr:colOff>180975</xdr:colOff>
      <xdr:row>1323</xdr:row>
      <xdr:rowOff>800100</xdr:rowOff>
    </xdr:to>
    <xdr:sp macro="" textlink="">
      <xdr:nvSpPr>
        <xdr:cNvPr id="2400" name="Имя " descr="Descr 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1324</xdr:row>
      <xdr:rowOff>647700</xdr:rowOff>
    </xdr:from>
    <xdr:to>
      <xdr:col>3</xdr:col>
      <xdr:colOff>180975</xdr:colOff>
      <xdr:row>1324</xdr:row>
      <xdr:rowOff>800100</xdr:rowOff>
    </xdr:to>
    <xdr:sp macro="" textlink="">
      <xdr:nvSpPr>
        <xdr:cNvPr id="2402" name="Имя " descr="Descr 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1325</xdr:row>
      <xdr:rowOff>647700</xdr:rowOff>
    </xdr:from>
    <xdr:to>
      <xdr:col>3</xdr:col>
      <xdr:colOff>180975</xdr:colOff>
      <xdr:row>1325</xdr:row>
      <xdr:rowOff>800100</xdr:rowOff>
    </xdr:to>
    <xdr:sp macro="" textlink="">
      <xdr:nvSpPr>
        <xdr:cNvPr id="2404" name="Имя " descr="Descr 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1326</xdr:row>
      <xdr:rowOff>647700</xdr:rowOff>
    </xdr:from>
    <xdr:to>
      <xdr:col>3</xdr:col>
      <xdr:colOff>180975</xdr:colOff>
      <xdr:row>1326</xdr:row>
      <xdr:rowOff>800100</xdr:rowOff>
    </xdr:to>
    <xdr:sp macro="" textlink="">
      <xdr:nvSpPr>
        <xdr:cNvPr id="2406" name="Имя " descr="Descr 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1327</xdr:row>
      <xdr:rowOff>647700</xdr:rowOff>
    </xdr:from>
    <xdr:to>
      <xdr:col>3</xdr:col>
      <xdr:colOff>180975</xdr:colOff>
      <xdr:row>1327</xdr:row>
      <xdr:rowOff>800100</xdr:rowOff>
    </xdr:to>
    <xdr:sp macro="" textlink="">
      <xdr:nvSpPr>
        <xdr:cNvPr id="2408" name="Имя " descr="Descr 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1328</xdr:row>
      <xdr:rowOff>647700</xdr:rowOff>
    </xdr:from>
    <xdr:to>
      <xdr:col>3</xdr:col>
      <xdr:colOff>180975</xdr:colOff>
      <xdr:row>1328</xdr:row>
      <xdr:rowOff>800100</xdr:rowOff>
    </xdr:to>
    <xdr:sp macro="" textlink="">
      <xdr:nvSpPr>
        <xdr:cNvPr id="2410" name="Имя " descr="Descr 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1329</xdr:row>
      <xdr:rowOff>647700</xdr:rowOff>
    </xdr:from>
    <xdr:to>
      <xdr:col>3</xdr:col>
      <xdr:colOff>180975</xdr:colOff>
      <xdr:row>1329</xdr:row>
      <xdr:rowOff>800100</xdr:rowOff>
    </xdr:to>
    <xdr:sp macro="" textlink="">
      <xdr:nvSpPr>
        <xdr:cNvPr id="2412" name="Имя " descr="Descr 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1330</xdr:row>
      <xdr:rowOff>647700</xdr:rowOff>
    </xdr:from>
    <xdr:to>
      <xdr:col>3</xdr:col>
      <xdr:colOff>180975</xdr:colOff>
      <xdr:row>1330</xdr:row>
      <xdr:rowOff>800100</xdr:rowOff>
    </xdr:to>
    <xdr:sp macro="" textlink="">
      <xdr:nvSpPr>
        <xdr:cNvPr id="2414" name="Имя " descr="Descr 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1331</xdr:row>
      <xdr:rowOff>647700</xdr:rowOff>
    </xdr:from>
    <xdr:to>
      <xdr:col>3</xdr:col>
      <xdr:colOff>180975</xdr:colOff>
      <xdr:row>1331</xdr:row>
      <xdr:rowOff>800100</xdr:rowOff>
    </xdr:to>
    <xdr:sp macro="" textlink="">
      <xdr:nvSpPr>
        <xdr:cNvPr id="2416" name="Имя " descr="Descr 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1332</xdr:row>
      <xdr:rowOff>647700</xdr:rowOff>
    </xdr:from>
    <xdr:to>
      <xdr:col>3</xdr:col>
      <xdr:colOff>180975</xdr:colOff>
      <xdr:row>1332</xdr:row>
      <xdr:rowOff>800100</xdr:rowOff>
    </xdr:to>
    <xdr:sp macro="" textlink="">
      <xdr:nvSpPr>
        <xdr:cNvPr id="2418" name="Имя " descr="Descr 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1334</xdr:row>
      <xdr:rowOff>647700</xdr:rowOff>
    </xdr:from>
    <xdr:to>
      <xdr:col>3</xdr:col>
      <xdr:colOff>180975</xdr:colOff>
      <xdr:row>1334</xdr:row>
      <xdr:rowOff>800100</xdr:rowOff>
    </xdr:to>
    <xdr:sp macro="" textlink="">
      <xdr:nvSpPr>
        <xdr:cNvPr id="2420" name="Имя " descr="Descr 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1335</xdr:row>
      <xdr:rowOff>647700</xdr:rowOff>
    </xdr:from>
    <xdr:to>
      <xdr:col>3</xdr:col>
      <xdr:colOff>180975</xdr:colOff>
      <xdr:row>1335</xdr:row>
      <xdr:rowOff>800100</xdr:rowOff>
    </xdr:to>
    <xdr:sp macro="" textlink="">
      <xdr:nvSpPr>
        <xdr:cNvPr id="2422" name="Имя " descr="Descr 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1336</xdr:row>
      <xdr:rowOff>647700</xdr:rowOff>
    </xdr:from>
    <xdr:to>
      <xdr:col>3</xdr:col>
      <xdr:colOff>180975</xdr:colOff>
      <xdr:row>1336</xdr:row>
      <xdr:rowOff>800100</xdr:rowOff>
    </xdr:to>
    <xdr:sp macro="" textlink="">
      <xdr:nvSpPr>
        <xdr:cNvPr id="2424" name="Имя " descr="Descr 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1337</xdr:row>
      <xdr:rowOff>647700</xdr:rowOff>
    </xdr:from>
    <xdr:to>
      <xdr:col>3</xdr:col>
      <xdr:colOff>180975</xdr:colOff>
      <xdr:row>1337</xdr:row>
      <xdr:rowOff>800100</xdr:rowOff>
    </xdr:to>
    <xdr:sp macro="" textlink="">
      <xdr:nvSpPr>
        <xdr:cNvPr id="2426" name="Имя " descr="Descr 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1338</xdr:row>
      <xdr:rowOff>647700</xdr:rowOff>
    </xdr:from>
    <xdr:to>
      <xdr:col>3</xdr:col>
      <xdr:colOff>180975</xdr:colOff>
      <xdr:row>1338</xdr:row>
      <xdr:rowOff>800100</xdr:rowOff>
    </xdr:to>
    <xdr:sp macro="" textlink="">
      <xdr:nvSpPr>
        <xdr:cNvPr id="2428" name="Имя " descr="Descr 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1339</xdr:row>
      <xdr:rowOff>647700</xdr:rowOff>
    </xdr:from>
    <xdr:to>
      <xdr:col>3</xdr:col>
      <xdr:colOff>180975</xdr:colOff>
      <xdr:row>1339</xdr:row>
      <xdr:rowOff>800100</xdr:rowOff>
    </xdr:to>
    <xdr:sp macro="" textlink="">
      <xdr:nvSpPr>
        <xdr:cNvPr id="2430" name="Имя " descr="Descr 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1340</xdr:row>
      <xdr:rowOff>647700</xdr:rowOff>
    </xdr:from>
    <xdr:to>
      <xdr:col>3</xdr:col>
      <xdr:colOff>180975</xdr:colOff>
      <xdr:row>1340</xdr:row>
      <xdr:rowOff>800100</xdr:rowOff>
    </xdr:to>
    <xdr:sp macro="" textlink="">
      <xdr:nvSpPr>
        <xdr:cNvPr id="2432" name="Имя " descr="Descr 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1341</xdr:row>
      <xdr:rowOff>647700</xdr:rowOff>
    </xdr:from>
    <xdr:to>
      <xdr:col>3</xdr:col>
      <xdr:colOff>180975</xdr:colOff>
      <xdr:row>1341</xdr:row>
      <xdr:rowOff>800100</xdr:rowOff>
    </xdr:to>
    <xdr:sp macro="" textlink="">
      <xdr:nvSpPr>
        <xdr:cNvPr id="2434" name="Имя " descr="Descr 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1342</xdr:row>
      <xdr:rowOff>647700</xdr:rowOff>
    </xdr:from>
    <xdr:to>
      <xdr:col>3</xdr:col>
      <xdr:colOff>180975</xdr:colOff>
      <xdr:row>1342</xdr:row>
      <xdr:rowOff>800100</xdr:rowOff>
    </xdr:to>
    <xdr:sp macro="" textlink="">
      <xdr:nvSpPr>
        <xdr:cNvPr id="2436" name="Имя " descr="Descr 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1343</xdr:row>
      <xdr:rowOff>647700</xdr:rowOff>
    </xdr:from>
    <xdr:to>
      <xdr:col>3</xdr:col>
      <xdr:colOff>180975</xdr:colOff>
      <xdr:row>1343</xdr:row>
      <xdr:rowOff>800100</xdr:rowOff>
    </xdr:to>
    <xdr:sp macro="" textlink="">
      <xdr:nvSpPr>
        <xdr:cNvPr id="2438" name="Имя " descr="Descr 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1344</xdr:row>
      <xdr:rowOff>647700</xdr:rowOff>
    </xdr:from>
    <xdr:to>
      <xdr:col>3</xdr:col>
      <xdr:colOff>180975</xdr:colOff>
      <xdr:row>1344</xdr:row>
      <xdr:rowOff>800100</xdr:rowOff>
    </xdr:to>
    <xdr:sp macro="" textlink="">
      <xdr:nvSpPr>
        <xdr:cNvPr id="2440" name="Имя " descr="Descr 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1345</xdr:row>
      <xdr:rowOff>647700</xdr:rowOff>
    </xdr:from>
    <xdr:to>
      <xdr:col>3</xdr:col>
      <xdr:colOff>180975</xdr:colOff>
      <xdr:row>1345</xdr:row>
      <xdr:rowOff>800100</xdr:rowOff>
    </xdr:to>
    <xdr:sp macro="" textlink="">
      <xdr:nvSpPr>
        <xdr:cNvPr id="2442" name="Имя " descr="Descr 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1346</xdr:row>
      <xdr:rowOff>647700</xdr:rowOff>
    </xdr:from>
    <xdr:to>
      <xdr:col>3</xdr:col>
      <xdr:colOff>180975</xdr:colOff>
      <xdr:row>1346</xdr:row>
      <xdr:rowOff>800100</xdr:rowOff>
    </xdr:to>
    <xdr:sp macro="" textlink="">
      <xdr:nvSpPr>
        <xdr:cNvPr id="2444" name="Имя " descr="Descr 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1347</xdr:row>
      <xdr:rowOff>647700</xdr:rowOff>
    </xdr:from>
    <xdr:to>
      <xdr:col>3</xdr:col>
      <xdr:colOff>180975</xdr:colOff>
      <xdr:row>1347</xdr:row>
      <xdr:rowOff>800100</xdr:rowOff>
    </xdr:to>
    <xdr:sp macro="" textlink="">
      <xdr:nvSpPr>
        <xdr:cNvPr id="2446" name="Имя " descr="Descr 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1348</xdr:row>
      <xdr:rowOff>647700</xdr:rowOff>
    </xdr:from>
    <xdr:to>
      <xdr:col>3</xdr:col>
      <xdr:colOff>180975</xdr:colOff>
      <xdr:row>1348</xdr:row>
      <xdr:rowOff>800100</xdr:rowOff>
    </xdr:to>
    <xdr:sp macro="" textlink="">
      <xdr:nvSpPr>
        <xdr:cNvPr id="2448" name="Имя " descr="Descr 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1349</xdr:row>
      <xdr:rowOff>647700</xdr:rowOff>
    </xdr:from>
    <xdr:to>
      <xdr:col>3</xdr:col>
      <xdr:colOff>180975</xdr:colOff>
      <xdr:row>1349</xdr:row>
      <xdr:rowOff>800100</xdr:rowOff>
    </xdr:to>
    <xdr:sp macro="" textlink="">
      <xdr:nvSpPr>
        <xdr:cNvPr id="2450" name="Имя " descr="Descr 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1350</xdr:row>
      <xdr:rowOff>647700</xdr:rowOff>
    </xdr:from>
    <xdr:to>
      <xdr:col>3</xdr:col>
      <xdr:colOff>180975</xdr:colOff>
      <xdr:row>1350</xdr:row>
      <xdr:rowOff>800100</xdr:rowOff>
    </xdr:to>
    <xdr:sp macro="" textlink="">
      <xdr:nvSpPr>
        <xdr:cNvPr id="2452" name="Имя " descr="Descr 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1351</xdr:row>
      <xdr:rowOff>647700</xdr:rowOff>
    </xdr:from>
    <xdr:to>
      <xdr:col>3</xdr:col>
      <xdr:colOff>180975</xdr:colOff>
      <xdr:row>1351</xdr:row>
      <xdr:rowOff>800100</xdr:rowOff>
    </xdr:to>
    <xdr:sp macro="" textlink="">
      <xdr:nvSpPr>
        <xdr:cNvPr id="2454" name="Имя " descr="Descr 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1352</xdr:row>
      <xdr:rowOff>647700</xdr:rowOff>
    </xdr:from>
    <xdr:to>
      <xdr:col>3</xdr:col>
      <xdr:colOff>180975</xdr:colOff>
      <xdr:row>1352</xdr:row>
      <xdr:rowOff>800100</xdr:rowOff>
    </xdr:to>
    <xdr:sp macro="" textlink="">
      <xdr:nvSpPr>
        <xdr:cNvPr id="2456" name="Имя " descr="Descr 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1353</xdr:row>
      <xdr:rowOff>647700</xdr:rowOff>
    </xdr:from>
    <xdr:to>
      <xdr:col>3</xdr:col>
      <xdr:colOff>180975</xdr:colOff>
      <xdr:row>1353</xdr:row>
      <xdr:rowOff>800100</xdr:rowOff>
    </xdr:to>
    <xdr:sp macro="" textlink="">
      <xdr:nvSpPr>
        <xdr:cNvPr id="2458" name="Имя " descr="Descr 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1354</xdr:row>
      <xdr:rowOff>647700</xdr:rowOff>
    </xdr:from>
    <xdr:to>
      <xdr:col>3</xdr:col>
      <xdr:colOff>180975</xdr:colOff>
      <xdr:row>1354</xdr:row>
      <xdr:rowOff>800100</xdr:rowOff>
    </xdr:to>
    <xdr:sp macro="" textlink="">
      <xdr:nvSpPr>
        <xdr:cNvPr id="2460" name="Имя " descr="Descr 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1356</xdr:row>
      <xdr:rowOff>647700</xdr:rowOff>
    </xdr:from>
    <xdr:to>
      <xdr:col>3</xdr:col>
      <xdr:colOff>180975</xdr:colOff>
      <xdr:row>1356</xdr:row>
      <xdr:rowOff>800100</xdr:rowOff>
    </xdr:to>
    <xdr:sp macro="" textlink="">
      <xdr:nvSpPr>
        <xdr:cNvPr id="2462" name="Имя " descr="Descr 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1357</xdr:row>
      <xdr:rowOff>647700</xdr:rowOff>
    </xdr:from>
    <xdr:to>
      <xdr:col>3</xdr:col>
      <xdr:colOff>180975</xdr:colOff>
      <xdr:row>1357</xdr:row>
      <xdr:rowOff>800100</xdr:rowOff>
    </xdr:to>
    <xdr:sp macro="" textlink="">
      <xdr:nvSpPr>
        <xdr:cNvPr id="2464" name="Имя " descr="Descr 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1358</xdr:row>
      <xdr:rowOff>647700</xdr:rowOff>
    </xdr:from>
    <xdr:to>
      <xdr:col>3</xdr:col>
      <xdr:colOff>180975</xdr:colOff>
      <xdr:row>1358</xdr:row>
      <xdr:rowOff>800100</xdr:rowOff>
    </xdr:to>
    <xdr:sp macro="" textlink="">
      <xdr:nvSpPr>
        <xdr:cNvPr id="2466" name="Имя " descr="Descr 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1359</xdr:row>
      <xdr:rowOff>647700</xdr:rowOff>
    </xdr:from>
    <xdr:to>
      <xdr:col>3</xdr:col>
      <xdr:colOff>180975</xdr:colOff>
      <xdr:row>1359</xdr:row>
      <xdr:rowOff>800100</xdr:rowOff>
    </xdr:to>
    <xdr:sp macro="" textlink="">
      <xdr:nvSpPr>
        <xdr:cNvPr id="2468" name="Имя " descr="Descr 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1362</xdr:row>
      <xdr:rowOff>647700</xdr:rowOff>
    </xdr:from>
    <xdr:to>
      <xdr:col>3</xdr:col>
      <xdr:colOff>180975</xdr:colOff>
      <xdr:row>1362</xdr:row>
      <xdr:rowOff>800100</xdr:rowOff>
    </xdr:to>
    <xdr:sp macro="" textlink="">
      <xdr:nvSpPr>
        <xdr:cNvPr id="2470" name="Имя " descr="Descr 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1367</xdr:row>
      <xdr:rowOff>647700</xdr:rowOff>
    </xdr:from>
    <xdr:to>
      <xdr:col>3</xdr:col>
      <xdr:colOff>180975</xdr:colOff>
      <xdr:row>1367</xdr:row>
      <xdr:rowOff>800100</xdr:rowOff>
    </xdr:to>
    <xdr:sp macro="" textlink="">
      <xdr:nvSpPr>
        <xdr:cNvPr id="2472" name="Имя " descr="Descr 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1368</xdr:row>
      <xdr:rowOff>647700</xdr:rowOff>
    </xdr:from>
    <xdr:to>
      <xdr:col>3</xdr:col>
      <xdr:colOff>180975</xdr:colOff>
      <xdr:row>1368</xdr:row>
      <xdr:rowOff>800100</xdr:rowOff>
    </xdr:to>
    <xdr:sp macro="" textlink="">
      <xdr:nvSpPr>
        <xdr:cNvPr id="2474" name="Имя " descr="Descr 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1369</xdr:row>
      <xdr:rowOff>647700</xdr:rowOff>
    </xdr:from>
    <xdr:to>
      <xdr:col>3</xdr:col>
      <xdr:colOff>180975</xdr:colOff>
      <xdr:row>1369</xdr:row>
      <xdr:rowOff>800100</xdr:rowOff>
    </xdr:to>
    <xdr:sp macro="" textlink="">
      <xdr:nvSpPr>
        <xdr:cNvPr id="2476" name="Имя " descr="Descr 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1372</xdr:row>
      <xdr:rowOff>647700</xdr:rowOff>
    </xdr:from>
    <xdr:to>
      <xdr:col>3</xdr:col>
      <xdr:colOff>180975</xdr:colOff>
      <xdr:row>1372</xdr:row>
      <xdr:rowOff>800100</xdr:rowOff>
    </xdr:to>
    <xdr:sp macro="" textlink="">
      <xdr:nvSpPr>
        <xdr:cNvPr id="2478" name="Имя " descr="Descr 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1373</xdr:row>
      <xdr:rowOff>647700</xdr:rowOff>
    </xdr:from>
    <xdr:to>
      <xdr:col>3</xdr:col>
      <xdr:colOff>180975</xdr:colOff>
      <xdr:row>1373</xdr:row>
      <xdr:rowOff>800100</xdr:rowOff>
    </xdr:to>
    <xdr:sp macro="" textlink="">
      <xdr:nvSpPr>
        <xdr:cNvPr id="2480" name="Имя " descr="Descr 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1374</xdr:row>
      <xdr:rowOff>647700</xdr:rowOff>
    </xdr:from>
    <xdr:to>
      <xdr:col>3</xdr:col>
      <xdr:colOff>180975</xdr:colOff>
      <xdr:row>1374</xdr:row>
      <xdr:rowOff>800100</xdr:rowOff>
    </xdr:to>
    <xdr:sp macro="" textlink="">
      <xdr:nvSpPr>
        <xdr:cNvPr id="2482" name="Имя " descr="Descr 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1375</xdr:row>
      <xdr:rowOff>647700</xdr:rowOff>
    </xdr:from>
    <xdr:to>
      <xdr:col>3</xdr:col>
      <xdr:colOff>180975</xdr:colOff>
      <xdr:row>1375</xdr:row>
      <xdr:rowOff>800100</xdr:rowOff>
    </xdr:to>
    <xdr:sp macro="" textlink="">
      <xdr:nvSpPr>
        <xdr:cNvPr id="2484" name="Имя " descr="Descr 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1376</xdr:row>
      <xdr:rowOff>647700</xdr:rowOff>
    </xdr:from>
    <xdr:to>
      <xdr:col>3</xdr:col>
      <xdr:colOff>180975</xdr:colOff>
      <xdr:row>1376</xdr:row>
      <xdr:rowOff>800100</xdr:rowOff>
    </xdr:to>
    <xdr:sp macro="" textlink="">
      <xdr:nvSpPr>
        <xdr:cNvPr id="2486" name="Имя " descr="Descr 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1377</xdr:row>
      <xdr:rowOff>647700</xdr:rowOff>
    </xdr:from>
    <xdr:to>
      <xdr:col>3</xdr:col>
      <xdr:colOff>180975</xdr:colOff>
      <xdr:row>1377</xdr:row>
      <xdr:rowOff>800100</xdr:rowOff>
    </xdr:to>
    <xdr:sp macro="" textlink="">
      <xdr:nvSpPr>
        <xdr:cNvPr id="2488" name="Имя " descr="Descr 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1378</xdr:row>
      <xdr:rowOff>647700</xdr:rowOff>
    </xdr:from>
    <xdr:to>
      <xdr:col>3</xdr:col>
      <xdr:colOff>180975</xdr:colOff>
      <xdr:row>1378</xdr:row>
      <xdr:rowOff>800100</xdr:rowOff>
    </xdr:to>
    <xdr:sp macro="" textlink="">
      <xdr:nvSpPr>
        <xdr:cNvPr id="2490" name="Имя " descr="Descr 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1379</xdr:row>
      <xdr:rowOff>647700</xdr:rowOff>
    </xdr:from>
    <xdr:to>
      <xdr:col>3</xdr:col>
      <xdr:colOff>180975</xdr:colOff>
      <xdr:row>1379</xdr:row>
      <xdr:rowOff>800100</xdr:rowOff>
    </xdr:to>
    <xdr:sp macro="" textlink="">
      <xdr:nvSpPr>
        <xdr:cNvPr id="2492" name="Имя " descr="Descr 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1380</xdr:row>
      <xdr:rowOff>647700</xdr:rowOff>
    </xdr:from>
    <xdr:to>
      <xdr:col>3</xdr:col>
      <xdr:colOff>180975</xdr:colOff>
      <xdr:row>1380</xdr:row>
      <xdr:rowOff>800100</xdr:rowOff>
    </xdr:to>
    <xdr:sp macro="" textlink="">
      <xdr:nvSpPr>
        <xdr:cNvPr id="2494" name="Имя " descr="Descr 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1381</xdr:row>
      <xdr:rowOff>647700</xdr:rowOff>
    </xdr:from>
    <xdr:to>
      <xdr:col>3</xdr:col>
      <xdr:colOff>180975</xdr:colOff>
      <xdr:row>1381</xdr:row>
      <xdr:rowOff>800100</xdr:rowOff>
    </xdr:to>
    <xdr:sp macro="" textlink="">
      <xdr:nvSpPr>
        <xdr:cNvPr id="2496" name="Имя " descr="Descr 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1382</xdr:row>
      <xdr:rowOff>647700</xdr:rowOff>
    </xdr:from>
    <xdr:to>
      <xdr:col>3</xdr:col>
      <xdr:colOff>180975</xdr:colOff>
      <xdr:row>1382</xdr:row>
      <xdr:rowOff>800100</xdr:rowOff>
    </xdr:to>
    <xdr:sp macro="" textlink="">
      <xdr:nvSpPr>
        <xdr:cNvPr id="2498" name="Имя " descr="Descr 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1383</xdr:row>
      <xdr:rowOff>647700</xdr:rowOff>
    </xdr:from>
    <xdr:to>
      <xdr:col>3</xdr:col>
      <xdr:colOff>180975</xdr:colOff>
      <xdr:row>1383</xdr:row>
      <xdr:rowOff>800100</xdr:rowOff>
    </xdr:to>
    <xdr:sp macro="" textlink="">
      <xdr:nvSpPr>
        <xdr:cNvPr id="2500" name="Имя " descr="Descr 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1384</xdr:row>
      <xdr:rowOff>647700</xdr:rowOff>
    </xdr:from>
    <xdr:to>
      <xdr:col>3</xdr:col>
      <xdr:colOff>180975</xdr:colOff>
      <xdr:row>1384</xdr:row>
      <xdr:rowOff>800100</xdr:rowOff>
    </xdr:to>
    <xdr:sp macro="" textlink="">
      <xdr:nvSpPr>
        <xdr:cNvPr id="2502" name="Имя " descr="Descr 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1385</xdr:row>
      <xdr:rowOff>647700</xdr:rowOff>
    </xdr:from>
    <xdr:to>
      <xdr:col>3</xdr:col>
      <xdr:colOff>180975</xdr:colOff>
      <xdr:row>1385</xdr:row>
      <xdr:rowOff>800100</xdr:rowOff>
    </xdr:to>
    <xdr:sp macro="" textlink="">
      <xdr:nvSpPr>
        <xdr:cNvPr id="2504" name="Имя " descr="Descr 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1386</xdr:row>
      <xdr:rowOff>647700</xdr:rowOff>
    </xdr:from>
    <xdr:to>
      <xdr:col>3</xdr:col>
      <xdr:colOff>180975</xdr:colOff>
      <xdr:row>1386</xdr:row>
      <xdr:rowOff>800100</xdr:rowOff>
    </xdr:to>
    <xdr:sp macro="" textlink="">
      <xdr:nvSpPr>
        <xdr:cNvPr id="2506" name="Имя " descr="Descr 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1387</xdr:row>
      <xdr:rowOff>647700</xdr:rowOff>
    </xdr:from>
    <xdr:to>
      <xdr:col>3</xdr:col>
      <xdr:colOff>180975</xdr:colOff>
      <xdr:row>1387</xdr:row>
      <xdr:rowOff>800100</xdr:rowOff>
    </xdr:to>
    <xdr:sp macro="" textlink="">
      <xdr:nvSpPr>
        <xdr:cNvPr id="2508" name="Имя " descr="Descr 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1388</xdr:row>
      <xdr:rowOff>647700</xdr:rowOff>
    </xdr:from>
    <xdr:to>
      <xdr:col>3</xdr:col>
      <xdr:colOff>180975</xdr:colOff>
      <xdr:row>1388</xdr:row>
      <xdr:rowOff>800100</xdr:rowOff>
    </xdr:to>
    <xdr:sp macro="" textlink="">
      <xdr:nvSpPr>
        <xdr:cNvPr id="2510" name="Имя " descr="Descr 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1389</xdr:row>
      <xdr:rowOff>647700</xdr:rowOff>
    </xdr:from>
    <xdr:to>
      <xdr:col>3</xdr:col>
      <xdr:colOff>180975</xdr:colOff>
      <xdr:row>1389</xdr:row>
      <xdr:rowOff>800100</xdr:rowOff>
    </xdr:to>
    <xdr:sp macro="" textlink="">
      <xdr:nvSpPr>
        <xdr:cNvPr id="2512" name="Имя " descr="Descr 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1390</xdr:row>
      <xdr:rowOff>647700</xdr:rowOff>
    </xdr:from>
    <xdr:to>
      <xdr:col>3</xdr:col>
      <xdr:colOff>180975</xdr:colOff>
      <xdr:row>1390</xdr:row>
      <xdr:rowOff>800100</xdr:rowOff>
    </xdr:to>
    <xdr:sp macro="" textlink="">
      <xdr:nvSpPr>
        <xdr:cNvPr id="2514" name="Имя " descr="Descr 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1391</xdr:row>
      <xdr:rowOff>647700</xdr:rowOff>
    </xdr:from>
    <xdr:to>
      <xdr:col>3</xdr:col>
      <xdr:colOff>180975</xdr:colOff>
      <xdr:row>1391</xdr:row>
      <xdr:rowOff>800100</xdr:rowOff>
    </xdr:to>
    <xdr:sp macro="" textlink="">
      <xdr:nvSpPr>
        <xdr:cNvPr id="2516" name="Имя " descr="Descr 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1393</xdr:row>
      <xdr:rowOff>647700</xdr:rowOff>
    </xdr:from>
    <xdr:to>
      <xdr:col>3</xdr:col>
      <xdr:colOff>180975</xdr:colOff>
      <xdr:row>1393</xdr:row>
      <xdr:rowOff>800100</xdr:rowOff>
    </xdr:to>
    <xdr:sp macro="" textlink="">
      <xdr:nvSpPr>
        <xdr:cNvPr id="2518" name="Имя " descr="Descr 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1394</xdr:row>
      <xdr:rowOff>647700</xdr:rowOff>
    </xdr:from>
    <xdr:to>
      <xdr:col>3</xdr:col>
      <xdr:colOff>180975</xdr:colOff>
      <xdr:row>1394</xdr:row>
      <xdr:rowOff>800100</xdr:rowOff>
    </xdr:to>
    <xdr:sp macro="" textlink="">
      <xdr:nvSpPr>
        <xdr:cNvPr id="2520" name="Имя " descr="Descr 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1395</xdr:row>
      <xdr:rowOff>647700</xdr:rowOff>
    </xdr:from>
    <xdr:to>
      <xdr:col>3</xdr:col>
      <xdr:colOff>180975</xdr:colOff>
      <xdr:row>1395</xdr:row>
      <xdr:rowOff>800100</xdr:rowOff>
    </xdr:to>
    <xdr:sp macro="" textlink="">
      <xdr:nvSpPr>
        <xdr:cNvPr id="2522" name="Имя " descr="Descr 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1398</xdr:row>
      <xdr:rowOff>647700</xdr:rowOff>
    </xdr:from>
    <xdr:to>
      <xdr:col>3</xdr:col>
      <xdr:colOff>180975</xdr:colOff>
      <xdr:row>1398</xdr:row>
      <xdr:rowOff>800100</xdr:rowOff>
    </xdr:to>
    <xdr:sp macro="" textlink="">
      <xdr:nvSpPr>
        <xdr:cNvPr id="2524" name="Имя " descr="Descr 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1399</xdr:row>
      <xdr:rowOff>647700</xdr:rowOff>
    </xdr:from>
    <xdr:to>
      <xdr:col>3</xdr:col>
      <xdr:colOff>180975</xdr:colOff>
      <xdr:row>1399</xdr:row>
      <xdr:rowOff>800100</xdr:rowOff>
    </xdr:to>
    <xdr:sp macro="" textlink="">
      <xdr:nvSpPr>
        <xdr:cNvPr id="2526" name="Имя " descr="Descr 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1400</xdr:row>
      <xdr:rowOff>647700</xdr:rowOff>
    </xdr:from>
    <xdr:to>
      <xdr:col>3</xdr:col>
      <xdr:colOff>180975</xdr:colOff>
      <xdr:row>1400</xdr:row>
      <xdr:rowOff>800100</xdr:rowOff>
    </xdr:to>
    <xdr:sp macro="" textlink="">
      <xdr:nvSpPr>
        <xdr:cNvPr id="2528" name="Имя " descr="Descr 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1401</xdr:row>
      <xdr:rowOff>647700</xdr:rowOff>
    </xdr:from>
    <xdr:to>
      <xdr:col>3</xdr:col>
      <xdr:colOff>180975</xdr:colOff>
      <xdr:row>1401</xdr:row>
      <xdr:rowOff>800100</xdr:rowOff>
    </xdr:to>
    <xdr:sp macro="" textlink="">
      <xdr:nvSpPr>
        <xdr:cNvPr id="2530" name="Имя " descr="Descr 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1402</xdr:row>
      <xdr:rowOff>647700</xdr:rowOff>
    </xdr:from>
    <xdr:to>
      <xdr:col>3</xdr:col>
      <xdr:colOff>180975</xdr:colOff>
      <xdr:row>1402</xdr:row>
      <xdr:rowOff>800100</xdr:rowOff>
    </xdr:to>
    <xdr:sp macro="" textlink="">
      <xdr:nvSpPr>
        <xdr:cNvPr id="2532" name="Имя " descr="Descr 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1403</xdr:row>
      <xdr:rowOff>647700</xdr:rowOff>
    </xdr:from>
    <xdr:to>
      <xdr:col>3</xdr:col>
      <xdr:colOff>180975</xdr:colOff>
      <xdr:row>1403</xdr:row>
      <xdr:rowOff>800100</xdr:rowOff>
    </xdr:to>
    <xdr:sp macro="" textlink="">
      <xdr:nvSpPr>
        <xdr:cNvPr id="2534" name="Имя " descr="Descr 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1404</xdr:row>
      <xdr:rowOff>647700</xdr:rowOff>
    </xdr:from>
    <xdr:to>
      <xdr:col>3</xdr:col>
      <xdr:colOff>180975</xdr:colOff>
      <xdr:row>1404</xdr:row>
      <xdr:rowOff>800100</xdr:rowOff>
    </xdr:to>
    <xdr:sp macro="" textlink="">
      <xdr:nvSpPr>
        <xdr:cNvPr id="2536" name="Имя " descr="Descr 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1405</xdr:row>
      <xdr:rowOff>647700</xdr:rowOff>
    </xdr:from>
    <xdr:to>
      <xdr:col>3</xdr:col>
      <xdr:colOff>180975</xdr:colOff>
      <xdr:row>1405</xdr:row>
      <xdr:rowOff>800100</xdr:rowOff>
    </xdr:to>
    <xdr:sp macro="" textlink="">
      <xdr:nvSpPr>
        <xdr:cNvPr id="2538" name="Имя " descr="Descr 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1406</xdr:row>
      <xdr:rowOff>647700</xdr:rowOff>
    </xdr:from>
    <xdr:to>
      <xdr:col>3</xdr:col>
      <xdr:colOff>180975</xdr:colOff>
      <xdr:row>1406</xdr:row>
      <xdr:rowOff>800100</xdr:rowOff>
    </xdr:to>
    <xdr:sp macro="" textlink="">
      <xdr:nvSpPr>
        <xdr:cNvPr id="2540" name="Имя " descr="Descr 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1408</xdr:row>
      <xdr:rowOff>647700</xdr:rowOff>
    </xdr:from>
    <xdr:to>
      <xdr:col>3</xdr:col>
      <xdr:colOff>180975</xdr:colOff>
      <xdr:row>1408</xdr:row>
      <xdr:rowOff>800100</xdr:rowOff>
    </xdr:to>
    <xdr:sp macro="" textlink="">
      <xdr:nvSpPr>
        <xdr:cNvPr id="2542" name="Имя " descr="Descr 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1409</xdr:row>
      <xdr:rowOff>647700</xdr:rowOff>
    </xdr:from>
    <xdr:to>
      <xdr:col>3</xdr:col>
      <xdr:colOff>180975</xdr:colOff>
      <xdr:row>1409</xdr:row>
      <xdr:rowOff>800100</xdr:rowOff>
    </xdr:to>
    <xdr:sp macro="" textlink="">
      <xdr:nvSpPr>
        <xdr:cNvPr id="2544" name="Имя " descr="Descr 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1410</xdr:row>
      <xdr:rowOff>647700</xdr:rowOff>
    </xdr:from>
    <xdr:to>
      <xdr:col>3</xdr:col>
      <xdr:colOff>180975</xdr:colOff>
      <xdr:row>1410</xdr:row>
      <xdr:rowOff>800100</xdr:rowOff>
    </xdr:to>
    <xdr:sp macro="" textlink="">
      <xdr:nvSpPr>
        <xdr:cNvPr id="2546" name="Имя " descr="Descr 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1411</xdr:row>
      <xdr:rowOff>647700</xdr:rowOff>
    </xdr:from>
    <xdr:to>
      <xdr:col>3</xdr:col>
      <xdr:colOff>180975</xdr:colOff>
      <xdr:row>1411</xdr:row>
      <xdr:rowOff>800100</xdr:rowOff>
    </xdr:to>
    <xdr:sp macro="" textlink="">
      <xdr:nvSpPr>
        <xdr:cNvPr id="2548" name="Имя " descr="Descr 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1412</xdr:row>
      <xdr:rowOff>647700</xdr:rowOff>
    </xdr:from>
    <xdr:to>
      <xdr:col>3</xdr:col>
      <xdr:colOff>180975</xdr:colOff>
      <xdr:row>1412</xdr:row>
      <xdr:rowOff>800100</xdr:rowOff>
    </xdr:to>
    <xdr:sp macro="" textlink="">
      <xdr:nvSpPr>
        <xdr:cNvPr id="2550" name="Имя " descr="Descr 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1413</xdr:row>
      <xdr:rowOff>647700</xdr:rowOff>
    </xdr:from>
    <xdr:to>
      <xdr:col>3</xdr:col>
      <xdr:colOff>180975</xdr:colOff>
      <xdr:row>1413</xdr:row>
      <xdr:rowOff>800100</xdr:rowOff>
    </xdr:to>
    <xdr:sp macro="" textlink="">
      <xdr:nvSpPr>
        <xdr:cNvPr id="2552" name="Имя " descr="Descr 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1414</xdr:row>
      <xdr:rowOff>647700</xdr:rowOff>
    </xdr:from>
    <xdr:to>
      <xdr:col>3</xdr:col>
      <xdr:colOff>180975</xdr:colOff>
      <xdr:row>1414</xdr:row>
      <xdr:rowOff>800100</xdr:rowOff>
    </xdr:to>
    <xdr:sp macro="" textlink="">
      <xdr:nvSpPr>
        <xdr:cNvPr id="2554" name="Имя " descr="Descr 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1415</xdr:row>
      <xdr:rowOff>647700</xdr:rowOff>
    </xdr:from>
    <xdr:to>
      <xdr:col>3</xdr:col>
      <xdr:colOff>180975</xdr:colOff>
      <xdr:row>1415</xdr:row>
      <xdr:rowOff>800100</xdr:rowOff>
    </xdr:to>
    <xdr:sp macro="" textlink="">
      <xdr:nvSpPr>
        <xdr:cNvPr id="2556" name="Имя " descr="Descr 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1416</xdr:row>
      <xdr:rowOff>647700</xdr:rowOff>
    </xdr:from>
    <xdr:to>
      <xdr:col>3</xdr:col>
      <xdr:colOff>180975</xdr:colOff>
      <xdr:row>1416</xdr:row>
      <xdr:rowOff>800100</xdr:rowOff>
    </xdr:to>
    <xdr:sp macro="" textlink="">
      <xdr:nvSpPr>
        <xdr:cNvPr id="2558" name="Имя " descr="Descr 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1419</xdr:row>
      <xdr:rowOff>647700</xdr:rowOff>
    </xdr:from>
    <xdr:to>
      <xdr:col>3</xdr:col>
      <xdr:colOff>180975</xdr:colOff>
      <xdr:row>1419</xdr:row>
      <xdr:rowOff>800100</xdr:rowOff>
    </xdr:to>
    <xdr:sp macro="" textlink="">
      <xdr:nvSpPr>
        <xdr:cNvPr id="2560" name="Имя " descr="Descr 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1422</xdr:row>
      <xdr:rowOff>647700</xdr:rowOff>
    </xdr:from>
    <xdr:to>
      <xdr:col>3</xdr:col>
      <xdr:colOff>180975</xdr:colOff>
      <xdr:row>1422</xdr:row>
      <xdr:rowOff>800100</xdr:rowOff>
    </xdr:to>
    <xdr:pic>
      <xdr:nvPicPr>
        <xdr:cNvPr id="2562" name="Имя " descr="Descr 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19050</xdr:colOff>
      <xdr:row>1423</xdr:row>
      <xdr:rowOff>647700</xdr:rowOff>
    </xdr:from>
    <xdr:to>
      <xdr:col>3</xdr:col>
      <xdr:colOff>180975</xdr:colOff>
      <xdr:row>1423</xdr:row>
      <xdr:rowOff>800100</xdr:rowOff>
    </xdr:to>
    <xdr:sp macro="" textlink="">
      <xdr:nvSpPr>
        <xdr:cNvPr id="2564" name="Имя " descr="Descr 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1425</xdr:row>
      <xdr:rowOff>647700</xdr:rowOff>
    </xdr:from>
    <xdr:to>
      <xdr:col>3</xdr:col>
      <xdr:colOff>180975</xdr:colOff>
      <xdr:row>1425</xdr:row>
      <xdr:rowOff>800100</xdr:rowOff>
    </xdr:to>
    <xdr:sp macro="" textlink="">
      <xdr:nvSpPr>
        <xdr:cNvPr id="2566" name="Имя " descr="Descr 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1426</xdr:row>
      <xdr:rowOff>647700</xdr:rowOff>
    </xdr:from>
    <xdr:to>
      <xdr:col>3</xdr:col>
      <xdr:colOff>180975</xdr:colOff>
      <xdr:row>1426</xdr:row>
      <xdr:rowOff>800100</xdr:rowOff>
    </xdr:to>
    <xdr:sp macro="" textlink="">
      <xdr:nvSpPr>
        <xdr:cNvPr id="2568" name="Имя " descr="Descr 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1427</xdr:row>
      <xdr:rowOff>647700</xdr:rowOff>
    </xdr:from>
    <xdr:to>
      <xdr:col>3</xdr:col>
      <xdr:colOff>180975</xdr:colOff>
      <xdr:row>1427</xdr:row>
      <xdr:rowOff>800100</xdr:rowOff>
    </xdr:to>
    <xdr:sp macro="" textlink="">
      <xdr:nvSpPr>
        <xdr:cNvPr id="2570" name="Имя " descr="Descr 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1428</xdr:row>
      <xdr:rowOff>647700</xdr:rowOff>
    </xdr:from>
    <xdr:to>
      <xdr:col>3</xdr:col>
      <xdr:colOff>180975</xdr:colOff>
      <xdr:row>1428</xdr:row>
      <xdr:rowOff>800100</xdr:rowOff>
    </xdr:to>
    <xdr:sp macro="" textlink="">
      <xdr:nvSpPr>
        <xdr:cNvPr id="2572" name="Имя " descr="Descr 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1429</xdr:row>
      <xdr:rowOff>647700</xdr:rowOff>
    </xdr:from>
    <xdr:to>
      <xdr:col>3</xdr:col>
      <xdr:colOff>180975</xdr:colOff>
      <xdr:row>1429</xdr:row>
      <xdr:rowOff>800100</xdr:rowOff>
    </xdr:to>
    <xdr:sp macro="" textlink="">
      <xdr:nvSpPr>
        <xdr:cNvPr id="2574" name="Имя " descr="Descr 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1430</xdr:row>
      <xdr:rowOff>647700</xdr:rowOff>
    </xdr:from>
    <xdr:to>
      <xdr:col>3</xdr:col>
      <xdr:colOff>180975</xdr:colOff>
      <xdr:row>1430</xdr:row>
      <xdr:rowOff>800100</xdr:rowOff>
    </xdr:to>
    <xdr:sp macro="" textlink="">
      <xdr:nvSpPr>
        <xdr:cNvPr id="2576" name="Имя " descr="Descr 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1434</xdr:row>
      <xdr:rowOff>647700</xdr:rowOff>
    </xdr:from>
    <xdr:to>
      <xdr:col>3</xdr:col>
      <xdr:colOff>180975</xdr:colOff>
      <xdr:row>1434</xdr:row>
      <xdr:rowOff>800100</xdr:rowOff>
    </xdr:to>
    <xdr:sp macro="" textlink="">
      <xdr:nvSpPr>
        <xdr:cNvPr id="2578" name="Имя " descr="Descr 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1436</xdr:row>
      <xdr:rowOff>647700</xdr:rowOff>
    </xdr:from>
    <xdr:to>
      <xdr:col>3</xdr:col>
      <xdr:colOff>180975</xdr:colOff>
      <xdr:row>1436</xdr:row>
      <xdr:rowOff>800100</xdr:rowOff>
    </xdr:to>
    <xdr:sp macro="" textlink="">
      <xdr:nvSpPr>
        <xdr:cNvPr id="2580" name="Имя " descr="Descr 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1438</xdr:row>
      <xdr:rowOff>647700</xdr:rowOff>
    </xdr:from>
    <xdr:to>
      <xdr:col>3</xdr:col>
      <xdr:colOff>180975</xdr:colOff>
      <xdr:row>1438</xdr:row>
      <xdr:rowOff>800100</xdr:rowOff>
    </xdr:to>
    <xdr:sp macro="" textlink="">
      <xdr:nvSpPr>
        <xdr:cNvPr id="2582" name="Имя " descr="Descr 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1439</xdr:row>
      <xdr:rowOff>647700</xdr:rowOff>
    </xdr:from>
    <xdr:to>
      <xdr:col>3</xdr:col>
      <xdr:colOff>180975</xdr:colOff>
      <xdr:row>1439</xdr:row>
      <xdr:rowOff>800100</xdr:rowOff>
    </xdr:to>
    <xdr:sp macro="" textlink="">
      <xdr:nvSpPr>
        <xdr:cNvPr id="2584" name="Имя " descr="Descr 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1440</xdr:row>
      <xdr:rowOff>647700</xdr:rowOff>
    </xdr:from>
    <xdr:to>
      <xdr:col>3</xdr:col>
      <xdr:colOff>180975</xdr:colOff>
      <xdr:row>1440</xdr:row>
      <xdr:rowOff>800100</xdr:rowOff>
    </xdr:to>
    <xdr:sp macro="" textlink="">
      <xdr:nvSpPr>
        <xdr:cNvPr id="2586" name="Имя " descr="Descr 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1441</xdr:row>
      <xdr:rowOff>647700</xdr:rowOff>
    </xdr:from>
    <xdr:to>
      <xdr:col>3</xdr:col>
      <xdr:colOff>180975</xdr:colOff>
      <xdr:row>1441</xdr:row>
      <xdr:rowOff>800100</xdr:rowOff>
    </xdr:to>
    <xdr:sp macro="" textlink="">
      <xdr:nvSpPr>
        <xdr:cNvPr id="2588" name="Имя " descr="Descr 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1442</xdr:row>
      <xdr:rowOff>647700</xdr:rowOff>
    </xdr:from>
    <xdr:to>
      <xdr:col>3</xdr:col>
      <xdr:colOff>180975</xdr:colOff>
      <xdr:row>1442</xdr:row>
      <xdr:rowOff>800100</xdr:rowOff>
    </xdr:to>
    <xdr:sp macro="" textlink="">
      <xdr:nvSpPr>
        <xdr:cNvPr id="2590" name="Имя " descr="Descr 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1443</xdr:row>
      <xdr:rowOff>647700</xdr:rowOff>
    </xdr:from>
    <xdr:to>
      <xdr:col>3</xdr:col>
      <xdr:colOff>180975</xdr:colOff>
      <xdr:row>1443</xdr:row>
      <xdr:rowOff>800100</xdr:rowOff>
    </xdr:to>
    <xdr:sp macro="" textlink="">
      <xdr:nvSpPr>
        <xdr:cNvPr id="2592" name="Имя " descr="Descr 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1444</xdr:row>
      <xdr:rowOff>647700</xdr:rowOff>
    </xdr:from>
    <xdr:to>
      <xdr:col>3</xdr:col>
      <xdr:colOff>180975</xdr:colOff>
      <xdr:row>1444</xdr:row>
      <xdr:rowOff>800100</xdr:rowOff>
    </xdr:to>
    <xdr:sp macro="" textlink="">
      <xdr:nvSpPr>
        <xdr:cNvPr id="2594" name="Имя " descr="Descr 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1445</xdr:row>
      <xdr:rowOff>647700</xdr:rowOff>
    </xdr:from>
    <xdr:to>
      <xdr:col>3</xdr:col>
      <xdr:colOff>180975</xdr:colOff>
      <xdr:row>1445</xdr:row>
      <xdr:rowOff>800100</xdr:rowOff>
    </xdr:to>
    <xdr:sp macro="" textlink="">
      <xdr:nvSpPr>
        <xdr:cNvPr id="2596" name="Имя " descr="Descr 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1446</xdr:row>
      <xdr:rowOff>647700</xdr:rowOff>
    </xdr:from>
    <xdr:to>
      <xdr:col>3</xdr:col>
      <xdr:colOff>180975</xdr:colOff>
      <xdr:row>1446</xdr:row>
      <xdr:rowOff>800100</xdr:rowOff>
    </xdr:to>
    <xdr:sp macro="" textlink="">
      <xdr:nvSpPr>
        <xdr:cNvPr id="2598" name="Имя " descr="Descr 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1447</xdr:row>
      <xdr:rowOff>647700</xdr:rowOff>
    </xdr:from>
    <xdr:to>
      <xdr:col>3</xdr:col>
      <xdr:colOff>180975</xdr:colOff>
      <xdr:row>1447</xdr:row>
      <xdr:rowOff>800100</xdr:rowOff>
    </xdr:to>
    <xdr:sp macro="" textlink="">
      <xdr:nvSpPr>
        <xdr:cNvPr id="2600" name="Имя " descr="Descr 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1450</xdr:row>
      <xdr:rowOff>647700</xdr:rowOff>
    </xdr:from>
    <xdr:to>
      <xdr:col>3</xdr:col>
      <xdr:colOff>180975</xdr:colOff>
      <xdr:row>1450</xdr:row>
      <xdr:rowOff>800100</xdr:rowOff>
    </xdr:to>
    <xdr:sp macro="" textlink="">
      <xdr:nvSpPr>
        <xdr:cNvPr id="2602" name="Имя " descr="Descr 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1451</xdr:row>
      <xdr:rowOff>647700</xdr:rowOff>
    </xdr:from>
    <xdr:to>
      <xdr:col>3</xdr:col>
      <xdr:colOff>180975</xdr:colOff>
      <xdr:row>1451</xdr:row>
      <xdr:rowOff>800100</xdr:rowOff>
    </xdr:to>
    <xdr:sp macro="" textlink="">
      <xdr:nvSpPr>
        <xdr:cNvPr id="2604" name="Имя " descr="Descr 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1452</xdr:row>
      <xdr:rowOff>647700</xdr:rowOff>
    </xdr:from>
    <xdr:to>
      <xdr:col>3</xdr:col>
      <xdr:colOff>180975</xdr:colOff>
      <xdr:row>1452</xdr:row>
      <xdr:rowOff>800100</xdr:rowOff>
    </xdr:to>
    <xdr:sp macro="" textlink="">
      <xdr:nvSpPr>
        <xdr:cNvPr id="2606" name="Имя " descr="Descr 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1454</xdr:row>
      <xdr:rowOff>647700</xdr:rowOff>
    </xdr:from>
    <xdr:to>
      <xdr:col>3</xdr:col>
      <xdr:colOff>180975</xdr:colOff>
      <xdr:row>1454</xdr:row>
      <xdr:rowOff>800100</xdr:rowOff>
    </xdr:to>
    <xdr:sp macro="" textlink="">
      <xdr:nvSpPr>
        <xdr:cNvPr id="2608" name="Имя " descr="Descr 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1459</xdr:row>
      <xdr:rowOff>647700</xdr:rowOff>
    </xdr:from>
    <xdr:to>
      <xdr:col>3</xdr:col>
      <xdr:colOff>180975</xdr:colOff>
      <xdr:row>1459</xdr:row>
      <xdr:rowOff>800100</xdr:rowOff>
    </xdr:to>
    <xdr:sp macro="" textlink="">
      <xdr:nvSpPr>
        <xdr:cNvPr id="2610" name="Имя " descr="Descr 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1461</xdr:row>
      <xdr:rowOff>647700</xdr:rowOff>
    </xdr:from>
    <xdr:to>
      <xdr:col>3</xdr:col>
      <xdr:colOff>180975</xdr:colOff>
      <xdr:row>1461</xdr:row>
      <xdr:rowOff>800100</xdr:rowOff>
    </xdr:to>
    <xdr:sp macro="" textlink="">
      <xdr:nvSpPr>
        <xdr:cNvPr id="2612" name="Имя " descr="Descr 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1462</xdr:row>
      <xdr:rowOff>647700</xdr:rowOff>
    </xdr:from>
    <xdr:to>
      <xdr:col>3</xdr:col>
      <xdr:colOff>180975</xdr:colOff>
      <xdr:row>1462</xdr:row>
      <xdr:rowOff>800100</xdr:rowOff>
    </xdr:to>
    <xdr:sp macro="" textlink="">
      <xdr:nvSpPr>
        <xdr:cNvPr id="2614" name="Имя " descr="Descr 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1463</xdr:row>
      <xdr:rowOff>647700</xdr:rowOff>
    </xdr:from>
    <xdr:to>
      <xdr:col>3</xdr:col>
      <xdr:colOff>180975</xdr:colOff>
      <xdr:row>1463</xdr:row>
      <xdr:rowOff>800100</xdr:rowOff>
    </xdr:to>
    <xdr:sp macro="" textlink="">
      <xdr:nvSpPr>
        <xdr:cNvPr id="2616" name="Имя " descr="Descr 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1464</xdr:row>
      <xdr:rowOff>647700</xdr:rowOff>
    </xdr:from>
    <xdr:to>
      <xdr:col>3</xdr:col>
      <xdr:colOff>180975</xdr:colOff>
      <xdr:row>1464</xdr:row>
      <xdr:rowOff>800100</xdr:rowOff>
    </xdr:to>
    <xdr:sp macro="" textlink="">
      <xdr:nvSpPr>
        <xdr:cNvPr id="2618" name="Имя " descr="Descr 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1465</xdr:row>
      <xdr:rowOff>647700</xdr:rowOff>
    </xdr:from>
    <xdr:to>
      <xdr:col>3</xdr:col>
      <xdr:colOff>180975</xdr:colOff>
      <xdr:row>1465</xdr:row>
      <xdr:rowOff>800100</xdr:rowOff>
    </xdr:to>
    <xdr:sp macro="" textlink="">
      <xdr:nvSpPr>
        <xdr:cNvPr id="2620" name="Имя " descr="Descr 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1466</xdr:row>
      <xdr:rowOff>647700</xdr:rowOff>
    </xdr:from>
    <xdr:to>
      <xdr:col>3</xdr:col>
      <xdr:colOff>180975</xdr:colOff>
      <xdr:row>1466</xdr:row>
      <xdr:rowOff>800100</xdr:rowOff>
    </xdr:to>
    <xdr:sp macro="" textlink="">
      <xdr:nvSpPr>
        <xdr:cNvPr id="2622" name="Имя " descr="Descr 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1470</xdr:row>
      <xdr:rowOff>647700</xdr:rowOff>
    </xdr:from>
    <xdr:to>
      <xdr:col>3</xdr:col>
      <xdr:colOff>180975</xdr:colOff>
      <xdr:row>1470</xdr:row>
      <xdr:rowOff>800100</xdr:rowOff>
    </xdr:to>
    <xdr:sp macro="" textlink="">
      <xdr:nvSpPr>
        <xdr:cNvPr id="2624" name="Имя " descr="Descr 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1471</xdr:row>
      <xdr:rowOff>647700</xdr:rowOff>
    </xdr:from>
    <xdr:to>
      <xdr:col>3</xdr:col>
      <xdr:colOff>180975</xdr:colOff>
      <xdr:row>1471</xdr:row>
      <xdr:rowOff>800100</xdr:rowOff>
    </xdr:to>
    <xdr:sp macro="" textlink="">
      <xdr:nvSpPr>
        <xdr:cNvPr id="2626" name="Имя " descr="Descr 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1472</xdr:row>
      <xdr:rowOff>647700</xdr:rowOff>
    </xdr:from>
    <xdr:to>
      <xdr:col>3</xdr:col>
      <xdr:colOff>180975</xdr:colOff>
      <xdr:row>1472</xdr:row>
      <xdr:rowOff>800100</xdr:rowOff>
    </xdr:to>
    <xdr:sp macro="" textlink="">
      <xdr:nvSpPr>
        <xdr:cNvPr id="2628" name="Имя " descr="Descr 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1473</xdr:row>
      <xdr:rowOff>647700</xdr:rowOff>
    </xdr:from>
    <xdr:to>
      <xdr:col>3</xdr:col>
      <xdr:colOff>180975</xdr:colOff>
      <xdr:row>1473</xdr:row>
      <xdr:rowOff>800100</xdr:rowOff>
    </xdr:to>
    <xdr:sp macro="" textlink="">
      <xdr:nvSpPr>
        <xdr:cNvPr id="2630" name="Имя " descr="Descr 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1474</xdr:row>
      <xdr:rowOff>647700</xdr:rowOff>
    </xdr:from>
    <xdr:to>
      <xdr:col>3</xdr:col>
      <xdr:colOff>180975</xdr:colOff>
      <xdr:row>1474</xdr:row>
      <xdr:rowOff>800100</xdr:rowOff>
    </xdr:to>
    <xdr:sp macro="" textlink="">
      <xdr:nvSpPr>
        <xdr:cNvPr id="2632" name="Имя " descr="Descr 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1475</xdr:row>
      <xdr:rowOff>647700</xdr:rowOff>
    </xdr:from>
    <xdr:to>
      <xdr:col>3</xdr:col>
      <xdr:colOff>180975</xdr:colOff>
      <xdr:row>1475</xdr:row>
      <xdr:rowOff>800100</xdr:rowOff>
    </xdr:to>
    <xdr:sp macro="" textlink="">
      <xdr:nvSpPr>
        <xdr:cNvPr id="2634" name="Имя " descr="Descr 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1476</xdr:row>
      <xdr:rowOff>647700</xdr:rowOff>
    </xdr:from>
    <xdr:to>
      <xdr:col>3</xdr:col>
      <xdr:colOff>180975</xdr:colOff>
      <xdr:row>1476</xdr:row>
      <xdr:rowOff>800100</xdr:rowOff>
    </xdr:to>
    <xdr:sp macro="" textlink="">
      <xdr:nvSpPr>
        <xdr:cNvPr id="2636" name="Имя " descr="Descr 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1478</xdr:row>
      <xdr:rowOff>647700</xdr:rowOff>
    </xdr:from>
    <xdr:to>
      <xdr:col>3</xdr:col>
      <xdr:colOff>180975</xdr:colOff>
      <xdr:row>1478</xdr:row>
      <xdr:rowOff>800100</xdr:rowOff>
    </xdr:to>
    <xdr:sp macro="" textlink="">
      <xdr:nvSpPr>
        <xdr:cNvPr id="2638" name="Имя " descr="Descr 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1479</xdr:row>
      <xdr:rowOff>647700</xdr:rowOff>
    </xdr:from>
    <xdr:to>
      <xdr:col>3</xdr:col>
      <xdr:colOff>180975</xdr:colOff>
      <xdr:row>1479</xdr:row>
      <xdr:rowOff>800100</xdr:rowOff>
    </xdr:to>
    <xdr:sp macro="" textlink="">
      <xdr:nvSpPr>
        <xdr:cNvPr id="2640" name="Имя " descr="Descr 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1480</xdr:row>
      <xdr:rowOff>647700</xdr:rowOff>
    </xdr:from>
    <xdr:to>
      <xdr:col>3</xdr:col>
      <xdr:colOff>180975</xdr:colOff>
      <xdr:row>1480</xdr:row>
      <xdr:rowOff>800100</xdr:rowOff>
    </xdr:to>
    <xdr:sp macro="" textlink="">
      <xdr:nvSpPr>
        <xdr:cNvPr id="2642" name="Имя " descr="Descr 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3</xdr:col>
      <xdr:colOff>19050</xdr:colOff>
      <xdr:row>1481</xdr:row>
      <xdr:rowOff>647700</xdr:rowOff>
    </xdr:from>
    <xdr:to>
      <xdr:col>3</xdr:col>
      <xdr:colOff>180975</xdr:colOff>
      <xdr:row>1481</xdr:row>
      <xdr:rowOff>800100</xdr:rowOff>
    </xdr:to>
    <xdr:sp macro="" textlink="">
      <xdr:nvSpPr>
        <xdr:cNvPr id="2644" name="Имя " descr="Descr 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482"/>
  <sheetViews>
    <sheetView tabSelected="1" workbookViewId="0">
      <pane ySplit="4" topLeftCell="A5" activePane="bottomLeft" state="frozenSplit"/>
      <selection pane="bottomLeft" activeCell="H1" sqref="H1:H1048576"/>
    </sheetView>
  </sheetViews>
  <sheetFormatPr defaultColWidth="10.5" defaultRowHeight="11.45" customHeight="1" outlineLevelRow="5" outlineLevelCol="1" x14ac:dyDescent="0.2"/>
  <cols>
    <col min="1" max="1" width="11.6640625" style="1" customWidth="1"/>
    <col min="2" max="2" width="12.6640625" style="1" customWidth="1"/>
    <col min="3" max="3" width="10.5" style="1" customWidth="1" outlineLevel="1"/>
    <col min="4" max="4" width="3.6640625" style="1" customWidth="1"/>
    <col min="5" max="5" width="43.5" style="1" customWidth="1"/>
    <col min="6" max="6" width="7.33203125" style="1" customWidth="1"/>
    <col min="7" max="7" width="19.83203125" style="1" customWidth="1"/>
    <col min="8" max="9" width="17.6640625" style="1" bestFit="1" customWidth="1"/>
    <col min="10" max="10" width="12.5" style="1" customWidth="1"/>
    <col min="11" max="11" width="18" style="1" customWidth="1"/>
    <col min="12" max="12" width="16.1640625" style="1" customWidth="1"/>
    <col min="13" max="13" width="10.83203125" style="1" customWidth="1"/>
    <col min="14" max="14" width="17.5" style="1" customWidth="1"/>
    <col min="15" max="15" width="11.6640625" style="1" customWidth="1"/>
    <col min="16" max="16" width="18.33203125" style="1" customWidth="1"/>
  </cols>
  <sheetData>
    <row r="1" spans="1:16" ht="11.1" customHeight="1" x14ac:dyDescent="0.2"/>
    <row r="2" spans="1:16" ht="21.95" customHeight="1" x14ac:dyDescent="0.3">
      <c r="H2" s="2" t="s">
        <v>0</v>
      </c>
      <c r="I2" s="3"/>
      <c r="J2" s="4" t="s">
        <v>1</v>
      </c>
      <c r="L2" s="39" t="s">
        <v>2</v>
      </c>
      <c r="M2" s="39"/>
      <c r="N2" s="38">
        <f>SUM(N5:N1482)</f>
        <v>0</v>
      </c>
      <c r="O2" s="5">
        <f>SUMPRODUCT(M5:M1482,O5:O1482)</f>
        <v>0</v>
      </c>
      <c r="P2" s="5">
        <f>SUMPRODUCT(M5:M1482,P5:P1482)</f>
        <v>0</v>
      </c>
    </row>
    <row r="3" spans="1:16" ht="11.1" customHeight="1" x14ac:dyDescent="0.2"/>
    <row r="4" spans="1:16" ht="32.1" customHeight="1" x14ac:dyDescent="0.2">
      <c r="A4" s="6" t="s">
        <v>3</v>
      </c>
      <c r="B4" s="6" t="s">
        <v>4</v>
      </c>
      <c r="C4" s="6" t="s">
        <v>5</v>
      </c>
      <c r="D4" s="40" t="s">
        <v>6</v>
      </c>
      <c r="E4" s="40"/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7" t="s">
        <v>14</v>
      </c>
      <c r="N4" s="6" t="s">
        <v>15</v>
      </c>
      <c r="O4" s="6" t="s">
        <v>16</v>
      </c>
      <c r="P4" s="6" t="s">
        <v>17</v>
      </c>
    </row>
    <row r="5" spans="1:16" s="8" customFormat="1" ht="15.95" customHeight="1" x14ac:dyDescent="0.25">
      <c r="A5" s="9"/>
      <c r="B5" s="10"/>
      <c r="C5" s="10"/>
      <c r="D5" s="10" t="s">
        <v>18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s="8" customFormat="1" ht="15.95" customHeight="1" outlineLevel="1" x14ac:dyDescent="0.25">
      <c r="A6" s="9"/>
      <c r="B6" s="10"/>
      <c r="C6" s="10"/>
      <c r="D6" s="10" t="s">
        <v>19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8" customFormat="1" ht="15.95" customHeight="1" outlineLevel="2" x14ac:dyDescent="0.25">
      <c r="A7" s="9"/>
      <c r="B7" s="10"/>
      <c r="C7" s="10"/>
      <c r="D7" s="10" t="s">
        <v>20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s="1" customFormat="1" ht="119.1" customHeight="1" outlineLevel="3" x14ac:dyDescent="0.2">
      <c r="A8" s="11">
        <v>156984</v>
      </c>
      <c r="B8" s="12" t="s">
        <v>21</v>
      </c>
      <c r="C8" s="12" t="s">
        <v>22</v>
      </c>
      <c r="D8" s="13"/>
      <c r="E8" s="14" t="s">
        <v>23</v>
      </c>
      <c r="F8" s="15" t="s">
        <v>24</v>
      </c>
      <c r="G8" s="16"/>
      <c r="H8" s="36">
        <v>12695.1</v>
      </c>
      <c r="I8" s="36">
        <f>ROUND(H8-(H8*I2/100),2)</f>
        <v>12695.1</v>
      </c>
      <c r="J8" s="17">
        <v>3</v>
      </c>
      <c r="K8" s="18"/>
      <c r="L8" s="18"/>
      <c r="M8" s="20"/>
      <c r="N8" s="37">
        <f>I8*M8</f>
        <v>0</v>
      </c>
      <c r="O8" s="21">
        <v>4.4000000000000004</v>
      </c>
      <c r="P8" s="22">
        <v>2.2491000000000001E-2</v>
      </c>
    </row>
    <row r="9" spans="1:16" s="1" customFormat="1" ht="119.1" customHeight="1" outlineLevel="3" x14ac:dyDescent="0.2">
      <c r="A9" s="11">
        <v>169819</v>
      </c>
      <c r="B9" s="12" t="s">
        <v>25</v>
      </c>
      <c r="C9" s="12" t="s">
        <v>22</v>
      </c>
      <c r="D9" s="13"/>
      <c r="E9" s="14" t="s">
        <v>26</v>
      </c>
      <c r="F9" s="15" t="s">
        <v>24</v>
      </c>
      <c r="G9" s="16"/>
      <c r="H9" s="36">
        <v>22481.5</v>
      </c>
      <c r="I9" s="36">
        <f>ROUND(H9-(H9*I2/100),2)</f>
        <v>22481.5</v>
      </c>
      <c r="J9" s="17">
        <v>2</v>
      </c>
      <c r="K9" s="18"/>
      <c r="L9" s="18"/>
      <c r="M9" s="20"/>
      <c r="N9" s="37">
        <f>I9*M9</f>
        <v>0</v>
      </c>
      <c r="O9" s="21">
        <v>8.5</v>
      </c>
      <c r="P9" s="22">
        <v>3.6946E-2</v>
      </c>
    </row>
    <row r="10" spans="1:16" s="8" customFormat="1" ht="15.95" customHeight="1" outlineLevel="2" x14ac:dyDescent="0.25">
      <c r="A10" s="9"/>
      <c r="B10" s="10"/>
      <c r="C10" s="10"/>
      <c r="D10" s="10" t="s">
        <v>27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s="1" customFormat="1" ht="119.1" customHeight="1" outlineLevel="3" x14ac:dyDescent="0.2">
      <c r="A11" s="11">
        <v>213784</v>
      </c>
      <c r="B11" s="12" t="s">
        <v>28</v>
      </c>
      <c r="C11" s="12" t="s">
        <v>22</v>
      </c>
      <c r="D11" s="13"/>
      <c r="E11" s="14" t="s">
        <v>29</v>
      </c>
      <c r="F11" s="15" t="s">
        <v>24</v>
      </c>
      <c r="G11" s="16"/>
      <c r="H11" s="36">
        <v>14771.3</v>
      </c>
      <c r="I11" s="36">
        <f>ROUND(H11-(H11*I2/100),2)</f>
        <v>14771.3</v>
      </c>
      <c r="J11" s="17">
        <v>20</v>
      </c>
      <c r="K11" s="18"/>
      <c r="L11" s="18"/>
      <c r="M11" s="20"/>
      <c r="N11" s="37">
        <f>I11*M11</f>
        <v>0</v>
      </c>
      <c r="O11" s="21">
        <v>10.3</v>
      </c>
      <c r="P11" s="22">
        <v>0.08</v>
      </c>
    </row>
    <row r="12" spans="1:16" s="1" customFormat="1" ht="119.1" customHeight="1" outlineLevel="3" x14ac:dyDescent="0.2">
      <c r="A12" s="11">
        <v>213783</v>
      </c>
      <c r="B12" s="12" t="s">
        <v>30</v>
      </c>
      <c r="C12" s="12" t="s">
        <v>22</v>
      </c>
      <c r="D12" s="13"/>
      <c r="E12" s="14" t="s">
        <v>31</v>
      </c>
      <c r="F12" s="15" t="s">
        <v>24</v>
      </c>
      <c r="G12" s="16"/>
      <c r="H12" s="36">
        <v>13798.8</v>
      </c>
      <c r="I12" s="36">
        <f>ROUND(H12-(H12*I2/100),2)</f>
        <v>13798.8</v>
      </c>
      <c r="J12" s="17">
        <v>18</v>
      </c>
      <c r="K12" s="18"/>
      <c r="L12" s="18"/>
      <c r="M12" s="20"/>
      <c r="N12" s="37">
        <f>I12*M12</f>
        <v>0</v>
      </c>
      <c r="O12" s="21">
        <v>10.199999999999999</v>
      </c>
      <c r="P12" s="22">
        <v>8.1619999999999998E-2</v>
      </c>
    </row>
    <row r="13" spans="1:16" s="1" customFormat="1" ht="119.1" customHeight="1" outlineLevel="3" x14ac:dyDescent="0.2">
      <c r="A13" s="11">
        <v>213786</v>
      </c>
      <c r="B13" s="12" t="s">
        <v>32</v>
      </c>
      <c r="C13" s="12" t="s">
        <v>22</v>
      </c>
      <c r="D13" s="13"/>
      <c r="E13" s="14" t="s">
        <v>33</v>
      </c>
      <c r="F13" s="15" t="s">
        <v>24</v>
      </c>
      <c r="G13" s="16"/>
      <c r="H13" s="36">
        <v>15126.6</v>
      </c>
      <c r="I13" s="36">
        <f>ROUND(H13-(H13*I2/100),2)</f>
        <v>15126.6</v>
      </c>
      <c r="J13" s="17">
        <v>16</v>
      </c>
      <c r="K13" s="18"/>
      <c r="L13" s="18"/>
      <c r="M13" s="20"/>
      <c r="N13" s="37">
        <f>I13*M13</f>
        <v>0</v>
      </c>
      <c r="O13" s="21">
        <v>10</v>
      </c>
      <c r="P13" s="22">
        <v>0.08</v>
      </c>
    </row>
    <row r="14" spans="1:16" s="1" customFormat="1" ht="119.1" customHeight="1" outlineLevel="3" x14ac:dyDescent="0.2">
      <c r="A14" s="11">
        <v>213785</v>
      </c>
      <c r="B14" s="12" t="s">
        <v>34</v>
      </c>
      <c r="C14" s="12" t="s">
        <v>22</v>
      </c>
      <c r="D14" s="13"/>
      <c r="E14" s="14" t="s">
        <v>35</v>
      </c>
      <c r="F14" s="15" t="s">
        <v>24</v>
      </c>
      <c r="G14" s="16"/>
      <c r="H14" s="36">
        <v>13129.6</v>
      </c>
      <c r="I14" s="36">
        <f>ROUND(H14-(H14*I2/100),2)</f>
        <v>13129.6</v>
      </c>
      <c r="J14" s="17">
        <v>14</v>
      </c>
      <c r="K14" s="18"/>
      <c r="L14" s="18"/>
      <c r="M14" s="20"/>
      <c r="N14" s="37">
        <f>I14*M14</f>
        <v>0</v>
      </c>
      <c r="O14" s="21">
        <v>9.1999999999999993</v>
      </c>
      <c r="P14" s="22">
        <v>0.08</v>
      </c>
    </row>
    <row r="15" spans="1:16" s="8" customFormat="1" ht="15.95" customHeight="1" outlineLevel="2" x14ac:dyDescent="0.25">
      <c r="A15" s="9"/>
      <c r="B15" s="10"/>
      <c r="C15" s="10"/>
      <c r="D15" s="10" t="s">
        <v>36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s="1" customFormat="1" ht="119.1" customHeight="1" outlineLevel="3" x14ac:dyDescent="0.2">
      <c r="A16" s="11">
        <v>180963</v>
      </c>
      <c r="B16" s="12" t="s">
        <v>37</v>
      </c>
      <c r="C16" s="12" t="s">
        <v>22</v>
      </c>
      <c r="D16" s="23"/>
      <c r="E16" s="24" t="s">
        <v>38</v>
      </c>
      <c r="F16" s="25" t="s">
        <v>24</v>
      </c>
      <c r="G16" s="26" t="s">
        <v>39</v>
      </c>
      <c r="H16" s="36">
        <v>42168.87</v>
      </c>
      <c r="I16" s="36">
        <f>H16</f>
        <v>42168.87</v>
      </c>
      <c r="J16" s="17">
        <v>8</v>
      </c>
      <c r="K16" s="18"/>
      <c r="L16" s="18"/>
      <c r="M16" s="20"/>
      <c r="N16" s="37">
        <f>I16*M16</f>
        <v>0</v>
      </c>
      <c r="O16" s="21">
        <v>60</v>
      </c>
      <c r="P16" s="22">
        <v>0.15959999999999999</v>
      </c>
    </row>
    <row r="17" spans="1:16" s="1" customFormat="1" ht="119.1" customHeight="1" outlineLevel="3" x14ac:dyDescent="0.2">
      <c r="A17" s="11">
        <v>180965</v>
      </c>
      <c r="B17" s="12" t="s">
        <v>40</v>
      </c>
      <c r="C17" s="12" t="s">
        <v>22</v>
      </c>
      <c r="D17" s="13"/>
      <c r="E17" s="14" t="s">
        <v>41</v>
      </c>
      <c r="F17" s="15" t="s">
        <v>24</v>
      </c>
      <c r="G17" s="16"/>
      <c r="H17" s="36">
        <v>53218.5</v>
      </c>
      <c r="I17" s="36">
        <f>ROUND(H17-(H17*I2/100),2)</f>
        <v>53218.5</v>
      </c>
      <c r="J17" s="17">
        <v>2</v>
      </c>
      <c r="K17" s="18"/>
      <c r="L17" s="18"/>
      <c r="M17" s="20"/>
      <c r="N17" s="37">
        <f>I17*M17</f>
        <v>0</v>
      </c>
      <c r="O17" s="21">
        <v>90</v>
      </c>
      <c r="P17" s="22">
        <v>0.236544</v>
      </c>
    </row>
    <row r="18" spans="1:16" s="1" customFormat="1" ht="119.1" customHeight="1" outlineLevel="3" x14ac:dyDescent="0.2">
      <c r="A18" s="11">
        <v>186122</v>
      </c>
      <c r="B18" s="12" t="s">
        <v>42</v>
      </c>
      <c r="C18" s="12" t="s">
        <v>22</v>
      </c>
      <c r="D18" s="23"/>
      <c r="E18" s="24" t="s">
        <v>43</v>
      </c>
      <c r="F18" s="25" t="s">
        <v>24</v>
      </c>
      <c r="G18" s="26" t="s">
        <v>39</v>
      </c>
      <c r="H18" s="36">
        <v>112171.68</v>
      </c>
      <c r="I18" s="36">
        <f>H18</f>
        <v>112171.68</v>
      </c>
      <c r="J18" s="17">
        <v>4</v>
      </c>
      <c r="K18" s="18"/>
      <c r="L18" s="18"/>
      <c r="M18" s="20"/>
      <c r="N18" s="37">
        <f>I18*M18</f>
        <v>0</v>
      </c>
      <c r="O18" s="21">
        <v>126</v>
      </c>
      <c r="P18" s="22">
        <v>0.33277699999999999</v>
      </c>
    </row>
    <row r="19" spans="1:16" s="1" customFormat="1" ht="119.1" customHeight="1" outlineLevel="3" x14ac:dyDescent="0.2">
      <c r="A19" s="11">
        <v>203710</v>
      </c>
      <c r="B19" s="12" t="s">
        <v>44</v>
      </c>
      <c r="C19" s="12" t="s">
        <v>22</v>
      </c>
      <c r="D19" s="23"/>
      <c r="E19" s="24" t="s">
        <v>45</v>
      </c>
      <c r="F19" s="25" t="s">
        <v>24</v>
      </c>
      <c r="G19" s="26" t="s">
        <v>39</v>
      </c>
      <c r="H19" s="36">
        <v>93419.91</v>
      </c>
      <c r="I19" s="36">
        <f>H19</f>
        <v>93419.91</v>
      </c>
      <c r="J19" s="17">
        <v>2</v>
      </c>
      <c r="K19" s="18"/>
      <c r="L19" s="18"/>
      <c r="M19" s="20"/>
      <c r="N19" s="37">
        <f>I19*M19</f>
        <v>0</v>
      </c>
      <c r="O19" s="21">
        <v>133</v>
      </c>
      <c r="P19" s="22">
        <v>0.75</v>
      </c>
    </row>
    <row r="20" spans="1:16" s="1" customFormat="1" ht="119.1" customHeight="1" outlineLevel="3" x14ac:dyDescent="0.2">
      <c r="A20" s="11">
        <v>188251</v>
      </c>
      <c r="B20" s="12" t="s">
        <v>46</v>
      </c>
      <c r="C20" s="12" t="s">
        <v>22</v>
      </c>
      <c r="D20" s="23"/>
      <c r="E20" s="24" t="s">
        <v>47</v>
      </c>
      <c r="F20" s="25" t="s">
        <v>24</v>
      </c>
      <c r="G20" s="26" t="s">
        <v>39</v>
      </c>
      <c r="H20" s="36">
        <v>83878.38</v>
      </c>
      <c r="I20" s="36">
        <f>H20</f>
        <v>83878.38</v>
      </c>
      <c r="J20" s="17">
        <v>3</v>
      </c>
      <c r="K20" s="18"/>
      <c r="L20" s="18"/>
      <c r="M20" s="20"/>
      <c r="N20" s="37">
        <f>I20*M20</f>
        <v>0</v>
      </c>
      <c r="O20" s="21">
        <v>79</v>
      </c>
      <c r="P20" s="22">
        <v>0.43608000000000002</v>
      </c>
    </row>
    <row r="21" spans="1:16" s="8" customFormat="1" ht="15.95" customHeight="1" outlineLevel="2" x14ac:dyDescent="0.25">
      <c r="A21" s="9"/>
      <c r="B21" s="10"/>
      <c r="C21" s="10"/>
      <c r="D21" s="10" t="s">
        <v>48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s="1" customFormat="1" ht="119.1" customHeight="1" outlineLevel="3" x14ac:dyDescent="0.2">
      <c r="A22" s="11">
        <v>200348</v>
      </c>
      <c r="B22" s="12" t="s">
        <v>49</v>
      </c>
      <c r="C22" s="12" t="s">
        <v>50</v>
      </c>
      <c r="D22" s="13"/>
      <c r="E22" s="14" t="s">
        <v>51</v>
      </c>
      <c r="F22" s="15" t="s">
        <v>24</v>
      </c>
      <c r="G22" s="16"/>
      <c r="H22" s="36">
        <v>14058.2</v>
      </c>
      <c r="I22" s="36">
        <f>ROUND(H22-(H22*I2/100),2)</f>
        <v>14058.2</v>
      </c>
      <c r="J22" s="17">
        <v>9</v>
      </c>
      <c r="K22" s="18"/>
      <c r="L22" s="18"/>
      <c r="M22" s="20"/>
      <c r="N22" s="37">
        <f>I22*M22</f>
        <v>0</v>
      </c>
      <c r="O22" s="21">
        <v>7</v>
      </c>
      <c r="P22" s="22">
        <v>7.6183000000000001E-2</v>
      </c>
    </row>
    <row r="23" spans="1:16" s="1" customFormat="1" ht="119.1" customHeight="1" outlineLevel="3" x14ac:dyDescent="0.2">
      <c r="A23" s="11">
        <v>200347</v>
      </c>
      <c r="B23" s="12" t="s">
        <v>52</v>
      </c>
      <c r="C23" s="12" t="s">
        <v>50</v>
      </c>
      <c r="D23" s="13"/>
      <c r="E23" s="14" t="s">
        <v>53</v>
      </c>
      <c r="F23" s="15" t="s">
        <v>24</v>
      </c>
      <c r="G23" s="16"/>
      <c r="H23" s="36">
        <v>11190.8</v>
      </c>
      <c r="I23" s="36">
        <f>ROUND(H23-(H23*I2/100),2)</f>
        <v>11190.8</v>
      </c>
      <c r="J23" s="17">
        <v>3</v>
      </c>
      <c r="K23" s="18"/>
      <c r="L23" s="18"/>
      <c r="M23" s="20"/>
      <c r="N23" s="37">
        <f>I23*M23</f>
        <v>0</v>
      </c>
      <c r="O23" s="21">
        <v>5</v>
      </c>
      <c r="P23" s="22">
        <v>3.9940000000000003E-2</v>
      </c>
    </row>
    <row r="24" spans="1:16" s="8" customFormat="1" ht="15.95" customHeight="1" outlineLevel="2" x14ac:dyDescent="0.25">
      <c r="A24" s="9"/>
      <c r="B24" s="10"/>
      <c r="C24" s="10"/>
      <c r="D24" s="10" t="s">
        <v>54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s="1" customFormat="1" ht="119.1" customHeight="1" outlineLevel="3" x14ac:dyDescent="0.2">
      <c r="A25" s="11">
        <v>219331</v>
      </c>
      <c r="B25" s="12" t="s">
        <v>55</v>
      </c>
      <c r="C25" s="12" t="s">
        <v>50</v>
      </c>
      <c r="D25" s="13"/>
      <c r="E25" s="14" t="s">
        <v>56</v>
      </c>
      <c r="F25" s="15" t="s">
        <v>24</v>
      </c>
      <c r="G25" s="16"/>
      <c r="H25" s="36">
        <v>17821.599999999999</v>
      </c>
      <c r="I25" s="36">
        <f>ROUND(H25-(H25*I2/100),2)</f>
        <v>17821.599999999999</v>
      </c>
      <c r="J25" s="17">
        <v>10</v>
      </c>
      <c r="K25" s="18"/>
      <c r="L25" s="18"/>
      <c r="M25" s="20"/>
      <c r="N25" s="37">
        <f>I25*M25</f>
        <v>0</v>
      </c>
      <c r="O25" s="21">
        <v>15</v>
      </c>
      <c r="P25" s="22">
        <v>0.106354</v>
      </c>
    </row>
    <row r="26" spans="1:16" s="1" customFormat="1" ht="119.1" customHeight="1" outlineLevel="3" x14ac:dyDescent="0.2">
      <c r="A26" s="11">
        <v>219332</v>
      </c>
      <c r="B26" s="12" t="s">
        <v>57</v>
      </c>
      <c r="C26" s="12" t="s">
        <v>50</v>
      </c>
      <c r="D26" s="13"/>
      <c r="E26" s="14" t="s">
        <v>58</v>
      </c>
      <c r="F26" s="15" t="s">
        <v>24</v>
      </c>
      <c r="G26" s="16"/>
      <c r="H26" s="36">
        <v>21186</v>
      </c>
      <c r="I26" s="36">
        <f>ROUND(H26-(H26*I2/100),2)</f>
        <v>21186</v>
      </c>
      <c r="J26" s="17">
        <v>13</v>
      </c>
      <c r="K26" s="18"/>
      <c r="L26" s="18"/>
      <c r="M26" s="20"/>
      <c r="N26" s="37">
        <f>I26*M26</f>
        <v>0</v>
      </c>
      <c r="O26" s="21">
        <v>19.5</v>
      </c>
      <c r="P26" s="22">
        <v>0.16192000000000001</v>
      </c>
    </row>
    <row r="27" spans="1:16" s="1" customFormat="1" ht="119.1" customHeight="1" outlineLevel="3" x14ac:dyDescent="0.2">
      <c r="A27" s="11">
        <v>219333</v>
      </c>
      <c r="B27" s="12" t="s">
        <v>59</v>
      </c>
      <c r="C27" s="12" t="s">
        <v>50</v>
      </c>
      <c r="D27" s="13"/>
      <c r="E27" s="14" t="s">
        <v>60</v>
      </c>
      <c r="F27" s="15" t="s">
        <v>24</v>
      </c>
      <c r="G27" s="16"/>
      <c r="H27" s="36">
        <v>24862.5</v>
      </c>
      <c r="I27" s="36">
        <f>ROUND(H27-(H27*I2/100),2)</f>
        <v>24862.5</v>
      </c>
      <c r="J27" s="17">
        <v>19</v>
      </c>
      <c r="K27" s="18"/>
      <c r="L27" s="18"/>
      <c r="M27" s="20"/>
      <c r="N27" s="37">
        <f>I27*M27</f>
        <v>0</v>
      </c>
      <c r="O27" s="21">
        <v>24</v>
      </c>
      <c r="P27" s="22">
        <v>0.23108799999999999</v>
      </c>
    </row>
    <row r="28" spans="1:16" s="8" customFormat="1" ht="15.95" customHeight="1" outlineLevel="2" x14ac:dyDescent="0.25">
      <c r="A28" s="9"/>
      <c r="B28" s="10"/>
      <c r="C28" s="10"/>
      <c r="D28" s="10" t="s">
        <v>61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s="1" customFormat="1" ht="119.1" customHeight="1" outlineLevel="3" x14ac:dyDescent="0.2">
      <c r="A29" s="11">
        <v>205469</v>
      </c>
      <c r="B29" s="12" t="s">
        <v>62</v>
      </c>
      <c r="C29" s="12" t="s">
        <v>22</v>
      </c>
      <c r="D29" s="13"/>
      <c r="E29" s="14" t="s">
        <v>63</v>
      </c>
      <c r="F29" s="15" t="s">
        <v>24</v>
      </c>
      <c r="G29" s="16"/>
      <c r="H29" s="36">
        <v>817.7</v>
      </c>
      <c r="I29" s="36">
        <f>ROUND(H29-(H29*I2/100),2)</f>
        <v>817.7</v>
      </c>
      <c r="J29" s="17">
        <v>23</v>
      </c>
      <c r="K29" s="18"/>
      <c r="L29" s="18"/>
      <c r="M29" s="20"/>
      <c r="N29" s="37">
        <f>I29*M29</f>
        <v>0</v>
      </c>
      <c r="O29" s="21">
        <v>0.16500000000000001</v>
      </c>
      <c r="P29" s="22">
        <v>1E-3</v>
      </c>
    </row>
    <row r="30" spans="1:16" s="1" customFormat="1" ht="119.1" customHeight="1" outlineLevel="3" x14ac:dyDescent="0.2">
      <c r="A30" s="11">
        <v>190512</v>
      </c>
      <c r="B30" s="12" t="s">
        <v>64</v>
      </c>
      <c r="C30" s="12" t="s">
        <v>22</v>
      </c>
      <c r="D30" s="13"/>
      <c r="E30" s="14" t="s">
        <v>65</v>
      </c>
      <c r="F30" s="15" t="s">
        <v>24</v>
      </c>
      <c r="G30" s="16"/>
      <c r="H30" s="36">
        <v>1087.5999999999999</v>
      </c>
      <c r="I30" s="36">
        <f>ROUND(H30-(H30*I2/100),2)</f>
        <v>1087.5999999999999</v>
      </c>
      <c r="J30" s="17">
        <v>45</v>
      </c>
      <c r="K30" s="18"/>
      <c r="L30" s="18"/>
      <c r="M30" s="20"/>
      <c r="N30" s="37">
        <f>I30*M30</f>
        <v>0</v>
      </c>
      <c r="O30" s="21">
        <v>0.2</v>
      </c>
      <c r="P30" s="22">
        <v>7.5299999999999998E-4</v>
      </c>
    </row>
    <row r="31" spans="1:16" s="1" customFormat="1" ht="119.1" customHeight="1" outlineLevel="3" x14ac:dyDescent="0.2">
      <c r="A31" s="11">
        <v>188327</v>
      </c>
      <c r="B31" s="12" t="s">
        <v>66</v>
      </c>
      <c r="C31" s="12" t="s">
        <v>22</v>
      </c>
      <c r="D31" s="13"/>
      <c r="E31" s="14" t="s">
        <v>67</v>
      </c>
      <c r="F31" s="15" t="s">
        <v>24</v>
      </c>
      <c r="G31" s="16"/>
      <c r="H31" s="36">
        <v>1320.7</v>
      </c>
      <c r="I31" s="36">
        <f>ROUND(H31-(H31*I2/100),2)</f>
        <v>1320.7</v>
      </c>
      <c r="J31" s="17">
        <v>7</v>
      </c>
      <c r="K31" s="18"/>
      <c r="L31" s="18"/>
      <c r="M31" s="20"/>
      <c r="N31" s="37">
        <f>I31*M31</f>
        <v>0</v>
      </c>
      <c r="O31" s="21">
        <v>0.3</v>
      </c>
      <c r="P31" s="22">
        <v>7.5299999999999998E-4</v>
      </c>
    </row>
    <row r="32" spans="1:16" s="1" customFormat="1" ht="119.1" customHeight="1" outlineLevel="3" x14ac:dyDescent="0.2">
      <c r="A32" s="11">
        <v>188554</v>
      </c>
      <c r="B32" s="12" t="s">
        <v>68</v>
      </c>
      <c r="C32" s="12" t="s">
        <v>22</v>
      </c>
      <c r="D32" s="13"/>
      <c r="E32" s="14" t="s">
        <v>69</v>
      </c>
      <c r="F32" s="15" t="s">
        <v>24</v>
      </c>
      <c r="G32" s="16"/>
      <c r="H32" s="36">
        <v>2090.5</v>
      </c>
      <c r="I32" s="36">
        <f>ROUND(H32-(H32*I2/100),2)</f>
        <v>2090.5</v>
      </c>
      <c r="J32" s="17">
        <v>15</v>
      </c>
      <c r="K32" s="18"/>
      <c r="L32" s="18"/>
      <c r="M32" s="20"/>
      <c r="N32" s="37">
        <f>I32*M32</f>
        <v>0</v>
      </c>
      <c r="O32" s="21">
        <v>0.44</v>
      </c>
      <c r="P32" s="22">
        <v>7.5299999999999998E-4</v>
      </c>
    </row>
    <row r="33" spans="1:16" s="8" customFormat="1" ht="15.95" customHeight="1" outlineLevel="2" x14ac:dyDescent="0.25">
      <c r="A33" s="9"/>
      <c r="B33" s="10"/>
      <c r="C33" s="10"/>
      <c r="D33" s="10" t="s">
        <v>70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s="1" customFormat="1" ht="119.1" customHeight="1" outlineLevel="3" x14ac:dyDescent="0.2">
      <c r="A34" s="11">
        <v>188556</v>
      </c>
      <c r="B34" s="12" t="s">
        <v>71</v>
      </c>
      <c r="C34" s="12" t="s">
        <v>22</v>
      </c>
      <c r="D34" s="13"/>
      <c r="E34" s="14" t="s">
        <v>72</v>
      </c>
      <c r="F34" s="15" t="s">
        <v>24</v>
      </c>
      <c r="G34" s="16"/>
      <c r="H34" s="36">
        <v>1169</v>
      </c>
      <c r="I34" s="36">
        <f>ROUND(H34-(H34*I2/100),2)</f>
        <v>1169</v>
      </c>
      <c r="J34" s="17">
        <v>7</v>
      </c>
      <c r="K34" s="18"/>
      <c r="L34" s="18"/>
      <c r="M34" s="20"/>
      <c r="N34" s="37">
        <f>I34*M34</f>
        <v>0</v>
      </c>
      <c r="O34" s="21">
        <v>0.86</v>
      </c>
      <c r="P34" s="22">
        <v>9.0799999999999995E-4</v>
      </c>
    </row>
    <row r="35" spans="1:16" s="1" customFormat="1" ht="119.1" customHeight="1" outlineLevel="3" x14ac:dyDescent="0.2">
      <c r="A35" s="11">
        <v>190489</v>
      </c>
      <c r="B35" s="12" t="s">
        <v>73</v>
      </c>
      <c r="C35" s="12" t="s">
        <v>22</v>
      </c>
      <c r="D35" s="13"/>
      <c r="E35" s="14" t="s">
        <v>74</v>
      </c>
      <c r="F35" s="15" t="s">
        <v>24</v>
      </c>
      <c r="G35" s="16"/>
      <c r="H35" s="36">
        <v>1194.3</v>
      </c>
      <c r="I35" s="36">
        <f>ROUND(H35-(H35*I2/100),2)</f>
        <v>1194.3</v>
      </c>
      <c r="J35" s="17">
        <v>2</v>
      </c>
      <c r="K35" s="18"/>
      <c r="L35" s="18"/>
      <c r="M35" s="20"/>
      <c r="N35" s="37">
        <f>I35*M35</f>
        <v>0</v>
      </c>
      <c r="O35" s="21">
        <v>0.58799999999999997</v>
      </c>
      <c r="P35" s="22">
        <v>9.0799999999999995E-4</v>
      </c>
    </row>
    <row r="36" spans="1:16" s="8" customFormat="1" ht="15.95" customHeight="1" outlineLevel="1" x14ac:dyDescent="0.25">
      <c r="A36" s="9"/>
      <c r="B36" s="10"/>
      <c r="C36" s="10"/>
      <c r="D36" s="10" t="s">
        <v>75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s="8" customFormat="1" ht="15.95" customHeight="1" outlineLevel="2" x14ac:dyDescent="0.25">
      <c r="A37" s="9"/>
      <c r="B37" s="10"/>
      <c r="C37" s="10"/>
      <c r="D37" s="10" t="s">
        <v>76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s="1" customFormat="1" ht="119.1" customHeight="1" outlineLevel="3" x14ac:dyDescent="0.2">
      <c r="A38" s="11">
        <v>200296</v>
      </c>
      <c r="B38" s="12" t="s">
        <v>77</v>
      </c>
      <c r="C38" s="12" t="s">
        <v>50</v>
      </c>
      <c r="D38" s="13"/>
      <c r="E38" s="14" t="s">
        <v>78</v>
      </c>
      <c r="F38" s="15" t="s">
        <v>24</v>
      </c>
      <c r="G38" s="16"/>
      <c r="H38" s="36">
        <v>132.9</v>
      </c>
      <c r="I38" s="36">
        <f>ROUND(H38-(H38*I2/100),2)</f>
        <v>132.9</v>
      </c>
      <c r="J38" s="27">
        <v>1968</v>
      </c>
      <c r="K38" s="18"/>
      <c r="L38" s="18"/>
      <c r="M38" s="20"/>
      <c r="N38" s="37">
        <f t="shared" ref="N38:N73" si="0">I38*M38</f>
        <v>0</v>
      </c>
      <c r="O38" s="21">
        <v>0.12</v>
      </c>
      <c r="P38" s="22">
        <v>2.0000000000000001E-4</v>
      </c>
    </row>
    <row r="39" spans="1:16" s="1" customFormat="1" ht="119.1" customHeight="1" outlineLevel="3" x14ac:dyDescent="0.2">
      <c r="A39" s="11">
        <v>201939</v>
      </c>
      <c r="B39" s="12" t="s">
        <v>79</v>
      </c>
      <c r="C39" s="12" t="s">
        <v>50</v>
      </c>
      <c r="D39" s="13"/>
      <c r="E39" s="14" t="s">
        <v>80</v>
      </c>
      <c r="F39" s="15" t="s">
        <v>24</v>
      </c>
      <c r="G39" s="16"/>
      <c r="H39" s="36">
        <v>2948.5</v>
      </c>
      <c r="I39" s="36">
        <f>ROUND(H39-(H39*I2/100),2)</f>
        <v>2948.5</v>
      </c>
      <c r="J39" s="17">
        <v>7</v>
      </c>
      <c r="K39" s="18"/>
      <c r="L39" s="18"/>
      <c r="M39" s="20"/>
      <c r="N39" s="37">
        <f t="shared" si="0"/>
        <v>0</v>
      </c>
      <c r="O39" s="21">
        <v>6.05</v>
      </c>
      <c r="P39" s="22">
        <v>5.1749999999999999E-3</v>
      </c>
    </row>
    <row r="40" spans="1:16" s="1" customFormat="1" ht="119.1" customHeight="1" outlineLevel="3" x14ac:dyDescent="0.2">
      <c r="A40" s="11">
        <v>200321</v>
      </c>
      <c r="B40" s="12" t="s">
        <v>81</v>
      </c>
      <c r="C40" s="12" t="s">
        <v>50</v>
      </c>
      <c r="D40" s="13"/>
      <c r="E40" s="14" t="s">
        <v>82</v>
      </c>
      <c r="F40" s="15" t="s">
        <v>24</v>
      </c>
      <c r="G40" s="16"/>
      <c r="H40" s="36">
        <v>1587.9</v>
      </c>
      <c r="I40" s="36">
        <f>ROUND(H40-(H40*I2/100),2)</f>
        <v>1587.9</v>
      </c>
      <c r="J40" s="17">
        <v>3</v>
      </c>
      <c r="K40" s="18"/>
      <c r="L40" s="18"/>
      <c r="M40" s="20"/>
      <c r="N40" s="37">
        <f t="shared" si="0"/>
        <v>0</v>
      </c>
      <c r="O40" s="21">
        <v>3.2829999999999999</v>
      </c>
      <c r="P40" s="22">
        <v>2.7599999999999999E-3</v>
      </c>
    </row>
    <row r="41" spans="1:16" s="1" customFormat="1" ht="119.1" customHeight="1" outlineLevel="3" x14ac:dyDescent="0.2">
      <c r="A41" s="11">
        <v>200325</v>
      </c>
      <c r="B41" s="12" t="s">
        <v>83</v>
      </c>
      <c r="C41" s="12" t="s">
        <v>50</v>
      </c>
      <c r="D41" s="13"/>
      <c r="E41" s="14" t="s">
        <v>84</v>
      </c>
      <c r="F41" s="15" t="s">
        <v>24</v>
      </c>
      <c r="G41" s="16"/>
      <c r="H41" s="36">
        <v>3649.2</v>
      </c>
      <c r="I41" s="36">
        <f>ROUND(H41-(H41*I2/100),2)</f>
        <v>3649.2</v>
      </c>
      <c r="J41" s="17">
        <v>3</v>
      </c>
      <c r="K41" s="18"/>
      <c r="L41" s="18"/>
      <c r="M41" s="20"/>
      <c r="N41" s="37">
        <f t="shared" si="0"/>
        <v>0</v>
      </c>
      <c r="O41" s="21">
        <v>6.8</v>
      </c>
      <c r="P41" s="22">
        <v>1.1180000000000001E-2</v>
      </c>
    </row>
    <row r="42" spans="1:16" s="1" customFormat="1" ht="119.1" customHeight="1" outlineLevel="3" x14ac:dyDescent="0.2">
      <c r="A42" s="11">
        <v>200327</v>
      </c>
      <c r="B42" s="12" t="s">
        <v>85</v>
      </c>
      <c r="C42" s="12" t="s">
        <v>50</v>
      </c>
      <c r="D42" s="23"/>
      <c r="E42" s="24" t="s">
        <v>86</v>
      </c>
      <c r="F42" s="25" t="s">
        <v>24</v>
      </c>
      <c r="G42" s="26" t="s">
        <v>39</v>
      </c>
      <c r="H42" s="36">
        <v>12419.27</v>
      </c>
      <c r="I42" s="36">
        <f>H42</f>
        <v>12419.27</v>
      </c>
      <c r="J42" s="17">
        <v>3</v>
      </c>
      <c r="K42" s="18"/>
      <c r="L42" s="18"/>
      <c r="M42" s="20"/>
      <c r="N42" s="37">
        <f t="shared" si="0"/>
        <v>0</v>
      </c>
      <c r="O42" s="21">
        <v>28.9</v>
      </c>
      <c r="P42" s="22">
        <v>4.6124999999999999E-2</v>
      </c>
    </row>
    <row r="43" spans="1:16" s="1" customFormat="1" ht="119.1" customHeight="1" outlineLevel="3" x14ac:dyDescent="0.2">
      <c r="A43" s="11">
        <v>205877</v>
      </c>
      <c r="B43" s="12" t="s">
        <v>87</v>
      </c>
      <c r="C43" s="12" t="s">
        <v>50</v>
      </c>
      <c r="D43" s="23"/>
      <c r="E43" s="24" t="s">
        <v>88</v>
      </c>
      <c r="F43" s="25" t="s">
        <v>24</v>
      </c>
      <c r="G43" s="26" t="s">
        <v>39</v>
      </c>
      <c r="H43" s="36">
        <v>13252.4</v>
      </c>
      <c r="I43" s="36">
        <f>H43</f>
        <v>13252.4</v>
      </c>
      <c r="J43" s="17">
        <v>9</v>
      </c>
      <c r="K43" s="18"/>
      <c r="L43" s="18"/>
      <c r="M43" s="20"/>
      <c r="N43" s="37">
        <f t="shared" si="0"/>
        <v>0</v>
      </c>
      <c r="O43" s="21">
        <v>4.9000000000000002E-2</v>
      </c>
      <c r="P43" s="22">
        <v>4.8994000000000003E-2</v>
      </c>
    </row>
    <row r="44" spans="1:16" s="1" customFormat="1" ht="119.1" customHeight="1" outlineLevel="3" x14ac:dyDescent="0.2">
      <c r="A44" s="11">
        <v>217021</v>
      </c>
      <c r="B44" s="12" t="s">
        <v>89</v>
      </c>
      <c r="C44" s="12" t="s">
        <v>50</v>
      </c>
      <c r="D44" s="23"/>
      <c r="E44" s="24" t="s">
        <v>90</v>
      </c>
      <c r="F44" s="25" t="s">
        <v>24</v>
      </c>
      <c r="G44" s="26" t="s">
        <v>39</v>
      </c>
      <c r="H44" s="36">
        <v>12081.06</v>
      </c>
      <c r="I44" s="36">
        <f>H44</f>
        <v>12081.06</v>
      </c>
      <c r="J44" s="17">
        <v>7</v>
      </c>
      <c r="K44" s="18"/>
      <c r="L44" s="18"/>
      <c r="M44" s="20"/>
      <c r="N44" s="37">
        <f t="shared" si="0"/>
        <v>0</v>
      </c>
      <c r="O44" s="21">
        <v>28</v>
      </c>
      <c r="P44" s="22">
        <v>4.6124999999999999E-2</v>
      </c>
    </row>
    <row r="45" spans="1:16" s="1" customFormat="1" ht="119.1" customHeight="1" outlineLevel="3" x14ac:dyDescent="0.2">
      <c r="A45" s="11">
        <v>216992</v>
      </c>
      <c r="B45" s="12" t="s">
        <v>91</v>
      </c>
      <c r="C45" s="12" t="s">
        <v>50</v>
      </c>
      <c r="D45" s="13"/>
      <c r="E45" s="14" t="s">
        <v>92</v>
      </c>
      <c r="F45" s="15" t="s">
        <v>24</v>
      </c>
      <c r="G45" s="16"/>
      <c r="H45" s="36">
        <v>524.79999999999995</v>
      </c>
      <c r="I45" s="36">
        <f>ROUND(H45-(H45*I2/100),2)</f>
        <v>524.79999999999995</v>
      </c>
      <c r="J45" s="17">
        <v>77</v>
      </c>
      <c r="K45" s="18"/>
      <c r="L45" s="18"/>
      <c r="M45" s="20"/>
      <c r="N45" s="37">
        <f t="shared" si="0"/>
        <v>0</v>
      </c>
      <c r="O45" s="21">
        <v>0.115</v>
      </c>
      <c r="P45" s="22">
        <v>3.2400000000000001E-4</v>
      </c>
    </row>
    <row r="46" spans="1:16" s="1" customFormat="1" ht="119.1" customHeight="1" outlineLevel="3" x14ac:dyDescent="0.2">
      <c r="A46" s="11">
        <v>216861</v>
      </c>
      <c r="B46" s="12" t="s">
        <v>93</v>
      </c>
      <c r="C46" s="12" t="s">
        <v>50</v>
      </c>
      <c r="D46" s="13"/>
      <c r="E46" s="14" t="s">
        <v>94</v>
      </c>
      <c r="F46" s="15" t="s">
        <v>24</v>
      </c>
      <c r="G46" s="16"/>
      <c r="H46" s="36">
        <v>277.2</v>
      </c>
      <c r="I46" s="36">
        <f>ROUND(H46-(H46*I2/100),2)</f>
        <v>277.2</v>
      </c>
      <c r="J46" s="17">
        <v>58</v>
      </c>
      <c r="K46" s="18"/>
      <c r="L46" s="18"/>
      <c r="M46" s="20"/>
      <c r="N46" s="37">
        <f t="shared" si="0"/>
        <v>0</v>
      </c>
      <c r="O46" s="21">
        <v>0.1</v>
      </c>
      <c r="P46" s="22">
        <v>4.1599999999999997E-4</v>
      </c>
    </row>
    <row r="47" spans="1:16" s="1" customFormat="1" ht="119.1" customHeight="1" outlineLevel="3" x14ac:dyDescent="0.2">
      <c r="A47" s="11">
        <v>183826</v>
      </c>
      <c r="B47" s="12" t="s">
        <v>95</v>
      </c>
      <c r="C47" s="12" t="s">
        <v>22</v>
      </c>
      <c r="D47" s="13"/>
      <c r="E47" s="14" t="s">
        <v>96</v>
      </c>
      <c r="F47" s="15" t="s">
        <v>24</v>
      </c>
      <c r="G47" s="16"/>
      <c r="H47" s="36">
        <v>3475</v>
      </c>
      <c r="I47" s="36">
        <f>ROUND(H47-(H47*I2/100),2)</f>
        <v>3475</v>
      </c>
      <c r="J47" s="17">
        <v>27</v>
      </c>
      <c r="K47" s="18"/>
      <c r="L47" s="18"/>
      <c r="M47" s="20"/>
      <c r="N47" s="37">
        <f t="shared" si="0"/>
        <v>0</v>
      </c>
      <c r="O47" s="21">
        <v>1.1499999999999999</v>
      </c>
      <c r="P47" s="22">
        <v>4.0699999999999998E-3</v>
      </c>
    </row>
    <row r="48" spans="1:16" s="1" customFormat="1" ht="119.1" customHeight="1" outlineLevel="3" x14ac:dyDescent="0.2">
      <c r="A48" s="11">
        <v>196184</v>
      </c>
      <c r="B48" s="12" t="s">
        <v>97</v>
      </c>
      <c r="C48" s="12" t="s">
        <v>22</v>
      </c>
      <c r="D48" s="13"/>
      <c r="E48" s="14" t="s">
        <v>98</v>
      </c>
      <c r="F48" s="15" t="s">
        <v>24</v>
      </c>
      <c r="G48" s="16"/>
      <c r="H48" s="36">
        <v>3304.7</v>
      </c>
      <c r="I48" s="36">
        <f>ROUND(H48-(H48*I2/100),2)</f>
        <v>3304.7</v>
      </c>
      <c r="J48" s="17">
        <v>28</v>
      </c>
      <c r="K48" s="18"/>
      <c r="L48" s="18"/>
      <c r="M48" s="20"/>
      <c r="N48" s="37">
        <f t="shared" si="0"/>
        <v>0</v>
      </c>
      <c r="O48" s="21">
        <v>1.917</v>
      </c>
      <c r="P48" s="22">
        <v>2E-3</v>
      </c>
    </row>
    <row r="49" spans="1:16" s="1" customFormat="1" ht="119.1" customHeight="1" outlineLevel="3" x14ac:dyDescent="0.2">
      <c r="A49" s="11">
        <v>219282</v>
      </c>
      <c r="B49" s="12" t="s">
        <v>99</v>
      </c>
      <c r="C49" s="12" t="s">
        <v>22</v>
      </c>
      <c r="D49" s="13"/>
      <c r="E49" s="14" t="s">
        <v>100</v>
      </c>
      <c r="F49" s="15" t="s">
        <v>24</v>
      </c>
      <c r="G49" s="16"/>
      <c r="H49" s="36">
        <v>1913.1</v>
      </c>
      <c r="I49" s="36">
        <f>ROUND(H49-(H49*I2/100),2)</f>
        <v>1913.1</v>
      </c>
      <c r="J49" s="17">
        <v>194</v>
      </c>
      <c r="K49" s="18"/>
      <c r="L49" s="18"/>
      <c r="M49" s="20"/>
      <c r="N49" s="37">
        <f t="shared" si="0"/>
        <v>0</v>
      </c>
      <c r="O49" s="21">
        <v>0.2</v>
      </c>
      <c r="P49" s="22">
        <v>2E-3</v>
      </c>
    </row>
    <row r="50" spans="1:16" s="1" customFormat="1" ht="119.1" customHeight="1" outlineLevel="3" x14ac:dyDescent="0.2">
      <c r="A50" s="11">
        <v>189942</v>
      </c>
      <c r="B50" s="12" t="s">
        <v>101</v>
      </c>
      <c r="C50" s="12" t="s">
        <v>22</v>
      </c>
      <c r="D50" s="13"/>
      <c r="E50" s="14" t="s">
        <v>102</v>
      </c>
      <c r="F50" s="15" t="s">
        <v>24</v>
      </c>
      <c r="G50" s="16"/>
      <c r="H50" s="36">
        <v>1869.6</v>
      </c>
      <c r="I50" s="36">
        <f>ROUND(H50-(H50*I2/100),2)</f>
        <v>1869.6</v>
      </c>
      <c r="J50" s="17">
        <v>101</v>
      </c>
      <c r="K50" s="18"/>
      <c r="L50" s="18"/>
      <c r="M50" s="20"/>
      <c r="N50" s="37">
        <f t="shared" si="0"/>
        <v>0</v>
      </c>
      <c r="O50" s="21">
        <v>0.35</v>
      </c>
      <c r="P50" s="22">
        <v>2.9999999999999997E-4</v>
      </c>
    </row>
    <row r="51" spans="1:16" s="1" customFormat="1" ht="119.1" customHeight="1" outlineLevel="3" x14ac:dyDescent="0.2">
      <c r="A51" s="11">
        <v>200335</v>
      </c>
      <c r="B51" s="12" t="s">
        <v>103</v>
      </c>
      <c r="C51" s="12" t="s">
        <v>50</v>
      </c>
      <c r="D51" s="13"/>
      <c r="E51" s="14" t="s">
        <v>104</v>
      </c>
      <c r="F51" s="15" t="s">
        <v>24</v>
      </c>
      <c r="G51" s="16"/>
      <c r="H51" s="36">
        <v>2283.1</v>
      </c>
      <c r="I51" s="36">
        <f>ROUND(H51-(H51*I2/100),2)</f>
        <v>2283.1</v>
      </c>
      <c r="J51" s="17">
        <v>2</v>
      </c>
      <c r="K51" s="18"/>
      <c r="L51" s="18"/>
      <c r="M51" s="20"/>
      <c r="N51" s="37">
        <f t="shared" si="0"/>
        <v>0</v>
      </c>
      <c r="O51" s="21">
        <v>3.3</v>
      </c>
      <c r="P51" s="22">
        <v>5.0000000000000001E-3</v>
      </c>
    </row>
    <row r="52" spans="1:16" s="1" customFormat="1" ht="119.1" customHeight="1" outlineLevel="3" x14ac:dyDescent="0.2">
      <c r="A52" s="11">
        <v>216899</v>
      </c>
      <c r="B52" s="12" t="s">
        <v>105</v>
      </c>
      <c r="C52" s="12" t="s">
        <v>50</v>
      </c>
      <c r="D52" s="13"/>
      <c r="E52" s="14" t="s">
        <v>106</v>
      </c>
      <c r="F52" s="15" t="s">
        <v>24</v>
      </c>
      <c r="G52" s="16"/>
      <c r="H52" s="36">
        <v>179.9</v>
      </c>
      <c r="I52" s="36">
        <f>ROUND(H52-(H52*I2/100),2)</f>
        <v>179.9</v>
      </c>
      <c r="J52" s="17">
        <v>1</v>
      </c>
      <c r="K52" s="18"/>
      <c r="L52" s="18"/>
      <c r="M52" s="20"/>
      <c r="N52" s="37">
        <f t="shared" si="0"/>
        <v>0</v>
      </c>
      <c r="O52" s="21">
        <v>0.1</v>
      </c>
      <c r="P52" s="22">
        <v>9.2399999999999999E-3</v>
      </c>
    </row>
    <row r="53" spans="1:16" s="1" customFormat="1" ht="119.1" customHeight="1" outlineLevel="3" x14ac:dyDescent="0.2">
      <c r="A53" s="11">
        <v>216900</v>
      </c>
      <c r="B53" s="12" t="s">
        <v>107</v>
      </c>
      <c r="C53" s="12" t="s">
        <v>50</v>
      </c>
      <c r="D53" s="13"/>
      <c r="E53" s="14" t="s">
        <v>108</v>
      </c>
      <c r="F53" s="15" t="s">
        <v>24</v>
      </c>
      <c r="G53" s="16"/>
      <c r="H53" s="36">
        <v>340.8</v>
      </c>
      <c r="I53" s="36">
        <f>ROUND(H53-(H53*I2/100),2)</f>
        <v>340.8</v>
      </c>
      <c r="J53" s="17">
        <v>52</v>
      </c>
      <c r="K53" s="18"/>
      <c r="L53" s="18"/>
      <c r="M53" s="20"/>
      <c r="N53" s="37">
        <f t="shared" si="0"/>
        <v>0</v>
      </c>
      <c r="O53" s="21">
        <v>0.23</v>
      </c>
      <c r="P53" s="22">
        <v>1.268E-3</v>
      </c>
    </row>
    <row r="54" spans="1:16" s="1" customFormat="1" ht="119.1" customHeight="1" outlineLevel="3" x14ac:dyDescent="0.2">
      <c r="A54" s="11">
        <v>204165</v>
      </c>
      <c r="B54" s="12" t="s">
        <v>109</v>
      </c>
      <c r="C54" s="12" t="s">
        <v>50</v>
      </c>
      <c r="D54" s="13"/>
      <c r="E54" s="14" t="s">
        <v>110</v>
      </c>
      <c r="F54" s="15" t="s">
        <v>24</v>
      </c>
      <c r="G54" s="16"/>
      <c r="H54" s="36">
        <v>673.6</v>
      </c>
      <c r="I54" s="36">
        <f>ROUND(H54-(H54*I2/100),2)</f>
        <v>673.6</v>
      </c>
      <c r="J54" s="17">
        <v>19</v>
      </c>
      <c r="K54" s="18"/>
      <c r="L54" s="18"/>
      <c r="M54" s="20"/>
      <c r="N54" s="37">
        <f t="shared" si="0"/>
        <v>0</v>
      </c>
      <c r="O54" s="21">
        <v>1</v>
      </c>
      <c r="P54" s="22">
        <v>2E-3</v>
      </c>
    </row>
    <row r="55" spans="1:16" s="1" customFormat="1" ht="119.1" customHeight="1" outlineLevel="3" x14ac:dyDescent="0.2">
      <c r="A55" s="11">
        <v>198540</v>
      </c>
      <c r="B55" s="12" t="s">
        <v>111</v>
      </c>
      <c r="C55" s="12" t="s">
        <v>50</v>
      </c>
      <c r="D55" s="13"/>
      <c r="E55" s="14" t="s">
        <v>112</v>
      </c>
      <c r="F55" s="15" t="s">
        <v>113</v>
      </c>
      <c r="G55" s="16"/>
      <c r="H55" s="36">
        <v>670.9</v>
      </c>
      <c r="I55" s="36">
        <f>ROUND(H55-(H55*I2/100),2)</f>
        <v>670.9</v>
      </c>
      <c r="J55" s="17">
        <v>27</v>
      </c>
      <c r="K55" s="18"/>
      <c r="L55" s="18"/>
      <c r="M55" s="20"/>
      <c r="N55" s="37">
        <f t="shared" si="0"/>
        <v>0</v>
      </c>
      <c r="O55" s="21">
        <v>0.8</v>
      </c>
      <c r="P55" s="22">
        <v>1.5510000000000001E-3</v>
      </c>
    </row>
    <row r="56" spans="1:16" s="1" customFormat="1" ht="119.1" customHeight="1" outlineLevel="3" x14ac:dyDescent="0.2">
      <c r="A56" s="11">
        <v>216942</v>
      </c>
      <c r="B56" s="12" t="s">
        <v>114</v>
      </c>
      <c r="C56" s="12" t="s">
        <v>50</v>
      </c>
      <c r="D56" s="13"/>
      <c r="E56" s="14" t="s">
        <v>115</v>
      </c>
      <c r="F56" s="15" t="s">
        <v>24</v>
      </c>
      <c r="G56" s="16"/>
      <c r="H56" s="36">
        <v>5356</v>
      </c>
      <c r="I56" s="36">
        <f>ROUND(H56-(H56*I2/100),2)</f>
        <v>5356</v>
      </c>
      <c r="J56" s="17">
        <v>7</v>
      </c>
      <c r="K56" s="18"/>
      <c r="L56" s="18"/>
      <c r="M56" s="20"/>
      <c r="N56" s="37">
        <f t="shared" si="0"/>
        <v>0</v>
      </c>
      <c r="O56" s="21">
        <v>5.5</v>
      </c>
      <c r="P56" s="22">
        <v>4.5374999999999999E-2</v>
      </c>
    </row>
    <row r="57" spans="1:16" s="1" customFormat="1" ht="119.1" customHeight="1" outlineLevel="3" x14ac:dyDescent="0.2">
      <c r="A57" s="11">
        <v>216952</v>
      </c>
      <c r="B57" s="12" t="s">
        <v>116</v>
      </c>
      <c r="C57" s="12" t="s">
        <v>50</v>
      </c>
      <c r="D57" s="13"/>
      <c r="E57" s="14" t="s">
        <v>117</v>
      </c>
      <c r="F57" s="15" t="s">
        <v>24</v>
      </c>
      <c r="G57" s="16"/>
      <c r="H57" s="36">
        <v>2421</v>
      </c>
      <c r="I57" s="36">
        <f>ROUND(H57-(H57*I2/100),2)</f>
        <v>2421</v>
      </c>
      <c r="J57" s="17">
        <v>4</v>
      </c>
      <c r="K57" s="18"/>
      <c r="L57" s="18"/>
      <c r="M57" s="20"/>
      <c r="N57" s="37">
        <f t="shared" si="0"/>
        <v>0</v>
      </c>
      <c r="O57" s="21">
        <v>3.4169999999999998</v>
      </c>
      <c r="P57" s="22">
        <v>4.845E-2</v>
      </c>
    </row>
    <row r="58" spans="1:16" s="1" customFormat="1" ht="119.1" customHeight="1" outlineLevel="3" x14ac:dyDescent="0.2">
      <c r="A58" s="11">
        <v>183290</v>
      </c>
      <c r="B58" s="12" t="s">
        <v>118</v>
      </c>
      <c r="C58" s="12" t="s">
        <v>22</v>
      </c>
      <c r="D58" s="13"/>
      <c r="E58" s="14" t="s">
        <v>119</v>
      </c>
      <c r="F58" s="15" t="s">
        <v>120</v>
      </c>
      <c r="G58" s="16"/>
      <c r="H58" s="36">
        <v>1820.5</v>
      </c>
      <c r="I58" s="36">
        <f>ROUND(H58-(H58*I2/100),2)</f>
        <v>1820.5</v>
      </c>
      <c r="J58" s="17">
        <v>15</v>
      </c>
      <c r="K58" s="18"/>
      <c r="L58" s="18"/>
      <c r="M58" s="20"/>
      <c r="N58" s="37">
        <f t="shared" si="0"/>
        <v>0</v>
      </c>
      <c r="O58" s="21">
        <v>1.5</v>
      </c>
      <c r="P58" s="22">
        <v>7.5380000000000004E-3</v>
      </c>
    </row>
    <row r="59" spans="1:16" s="1" customFormat="1" ht="119.1" customHeight="1" outlineLevel="3" x14ac:dyDescent="0.2">
      <c r="A59" s="11">
        <v>191235</v>
      </c>
      <c r="B59" s="12" t="s">
        <v>121</v>
      </c>
      <c r="C59" s="12" t="s">
        <v>22</v>
      </c>
      <c r="D59" s="13"/>
      <c r="E59" s="14" t="s">
        <v>122</v>
      </c>
      <c r="F59" s="15" t="s">
        <v>120</v>
      </c>
      <c r="G59" s="16"/>
      <c r="H59" s="36">
        <v>1976.1</v>
      </c>
      <c r="I59" s="36">
        <f>ROUND(H59-(H59*I2/100),2)</f>
        <v>1976.1</v>
      </c>
      <c r="J59" s="17">
        <v>23</v>
      </c>
      <c r="K59" s="18"/>
      <c r="L59" s="18"/>
      <c r="M59" s="20"/>
      <c r="N59" s="37">
        <f t="shared" si="0"/>
        <v>0</v>
      </c>
      <c r="O59" s="21">
        <v>1.5</v>
      </c>
      <c r="P59" s="22">
        <v>7.5380000000000004E-3</v>
      </c>
    </row>
    <row r="60" spans="1:16" s="1" customFormat="1" ht="119.1" customHeight="1" outlineLevel="3" x14ac:dyDescent="0.2">
      <c r="A60" s="11">
        <v>196632</v>
      </c>
      <c r="B60" s="12" t="s">
        <v>123</v>
      </c>
      <c r="C60" s="12" t="s">
        <v>50</v>
      </c>
      <c r="D60" s="13"/>
      <c r="E60" s="14" t="s">
        <v>124</v>
      </c>
      <c r="F60" s="15" t="s">
        <v>24</v>
      </c>
      <c r="G60" s="16"/>
      <c r="H60" s="36">
        <v>1452.7</v>
      </c>
      <c r="I60" s="36">
        <f>ROUND(H60-(H60*I2/100),2)</f>
        <v>1452.7</v>
      </c>
      <c r="J60" s="17">
        <v>12</v>
      </c>
      <c r="K60" s="18"/>
      <c r="L60" s="18"/>
      <c r="M60" s="20"/>
      <c r="N60" s="37">
        <f t="shared" si="0"/>
        <v>0</v>
      </c>
      <c r="O60" s="21">
        <v>1.18</v>
      </c>
      <c r="P60" s="22">
        <v>5.5079999999999999E-3</v>
      </c>
    </row>
    <row r="61" spans="1:16" s="1" customFormat="1" ht="119.1" customHeight="1" outlineLevel="3" x14ac:dyDescent="0.2">
      <c r="A61" s="11">
        <v>168136</v>
      </c>
      <c r="B61" s="12" t="s">
        <v>125</v>
      </c>
      <c r="C61" s="12" t="s">
        <v>22</v>
      </c>
      <c r="D61" s="13"/>
      <c r="E61" s="14" t="s">
        <v>126</v>
      </c>
      <c r="F61" s="15" t="s">
        <v>24</v>
      </c>
      <c r="G61" s="16"/>
      <c r="H61" s="36">
        <v>747.7</v>
      </c>
      <c r="I61" s="36">
        <f>ROUND(H61-(H61*I2/100),2)</f>
        <v>747.7</v>
      </c>
      <c r="J61" s="27">
        <v>1180</v>
      </c>
      <c r="K61" s="18"/>
      <c r="L61" s="18"/>
      <c r="M61" s="20"/>
      <c r="N61" s="37">
        <f t="shared" si="0"/>
        <v>0</v>
      </c>
      <c r="O61" s="21">
        <v>0.79300000000000004</v>
      </c>
      <c r="P61" s="22">
        <v>5.0600000000000005E-4</v>
      </c>
    </row>
    <row r="62" spans="1:16" s="1" customFormat="1" ht="119.1" customHeight="1" outlineLevel="3" x14ac:dyDescent="0.2">
      <c r="A62" s="11">
        <v>168137</v>
      </c>
      <c r="B62" s="12" t="s">
        <v>127</v>
      </c>
      <c r="C62" s="12" t="s">
        <v>22</v>
      </c>
      <c r="D62" s="13"/>
      <c r="E62" s="14" t="s">
        <v>128</v>
      </c>
      <c r="F62" s="15" t="s">
        <v>24</v>
      </c>
      <c r="G62" s="16"/>
      <c r="H62" s="36">
        <v>1238.2</v>
      </c>
      <c r="I62" s="36">
        <f>ROUND(H62-(H62*I2/100),2)</f>
        <v>1238.2</v>
      </c>
      <c r="J62" s="17">
        <v>255</v>
      </c>
      <c r="K62" s="18"/>
      <c r="L62" s="18"/>
      <c r="M62" s="20"/>
      <c r="N62" s="37">
        <f t="shared" si="0"/>
        <v>0</v>
      </c>
      <c r="O62" s="21">
        <v>1.26</v>
      </c>
      <c r="P62" s="22">
        <v>2.898E-3</v>
      </c>
    </row>
    <row r="63" spans="1:16" s="1" customFormat="1" ht="119.1" customHeight="1" outlineLevel="3" x14ac:dyDescent="0.2">
      <c r="A63" s="11">
        <v>208906</v>
      </c>
      <c r="B63" s="12" t="s">
        <v>129</v>
      </c>
      <c r="C63" s="12" t="s">
        <v>22</v>
      </c>
      <c r="D63" s="13"/>
      <c r="E63" s="14" t="s">
        <v>130</v>
      </c>
      <c r="F63" s="15" t="s">
        <v>24</v>
      </c>
      <c r="G63" s="16"/>
      <c r="H63" s="36">
        <v>1717.4</v>
      </c>
      <c r="I63" s="36">
        <f>ROUND(H63-(H63*I2/100),2)</f>
        <v>1717.4</v>
      </c>
      <c r="J63" s="17">
        <v>239</v>
      </c>
      <c r="K63" s="18"/>
      <c r="L63" s="18"/>
      <c r="M63" s="20"/>
      <c r="N63" s="37">
        <f t="shared" si="0"/>
        <v>0</v>
      </c>
      <c r="O63" s="21">
        <v>2.15</v>
      </c>
      <c r="P63" s="22">
        <v>3.3E-3</v>
      </c>
    </row>
    <row r="64" spans="1:16" s="1" customFormat="1" ht="119.1" customHeight="1" outlineLevel="3" x14ac:dyDescent="0.2">
      <c r="A64" s="11">
        <v>208269</v>
      </c>
      <c r="B64" s="12" t="s">
        <v>131</v>
      </c>
      <c r="C64" s="12" t="s">
        <v>22</v>
      </c>
      <c r="D64" s="13"/>
      <c r="E64" s="14" t="s">
        <v>132</v>
      </c>
      <c r="F64" s="15" t="s">
        <v>24</v>
      </c>
      <c r="G64" s="16"/>
      <c r="H64" s="36">
        <v>1420.4</v>
      </c>
      <c r="I64" s="36">
        <f>ROUND(H64-(H64*I2/100),2)</f>
        <v>1420.4</v>
      </c>
      <c r="J64" s="17">
        <v>279</v>
      </c>
      <c r="K64" s="18"/>
      <c r="L64" s="18"/>
      <c r="M64" s="20"/>
      <c r="N64" s="37">
        <f t="shared" si="0"/>
        <v>0</v>
      </c>
      <c r="O64" s="21">
        <v>2</v>
      </c>
      <c r="P64" s="22">
        <v>2.64E-3</v>
      </c>
    </row>
    <row r="65" spans="1:16" s="1" customFormat="1" ht="119.1" customHeight="1" outlineLevel="3" x14ac:dyDescent="0.2">
      <c r="A65" s="11">
        <v>168138</v>
      </c>
      <c r="B65" s="12" t="s">
        <v>133</v>
      </c>
      <c r="C65" s="12" t="s">
        <v>22</v>
      </c>
      <c r="D65" s="13"/>
      <c r="E65" s="14" t="s">
        <v>134</v>
      </c>
      <c r="F65" s="15" t="s">
        <v>24</v>
      </c>
      <c r="G65" s="16"/>
      <c r="H65" s="36">
        <v>2104.5</v>
      </c>
      <c r="I65" s="36">
        <f>ROUND(H65-(H65*I2/100),2)</f>
        <v>2104.5</v>
      </c>
      <c r="J65" s="17">
        <v>261</v>
      </c>
      <c r="K65" s="18"/>
      <c r="L65" s="18"/>
      <c r="M65" s="20"/>
      <c r="N65" s="37">
        <f t="shared" si="0"/>
        <v>0</v>
      </c>
      <c r="O65" s="21">
        <v>1</v>
      </c>
      <c r="P65" s="22">
        <v>1E-3</v>
      </c>
    </row>
    <row r="66" spans="1:16" s="1" customFormat="1" ht="119.1" customHeight="1" outlineLevel="3" x14ac:dyDescent="0.2">
      <c r="A66" s="11">
        <v>208270</v>
      </c>
      <c r="B66" s="12" t="s">
        <v>135</v>
      </c>
      <c r="C66" s="12" t="s">
        <v>22</v>
      </c>
      <c r="D66" s="13"/>
      <c r="E66" s="14" t="s">
        <v>136</v>
      </c>
      <c r="F66" s="15" t="s">
        <v>24</v>
      </c>
      <c r="G66" s="16"/>
      <c r="H66" s="36">
        <v>1720.5</v>
      </c>
      <c r="I66" s="36">
        <f>ROUND(H66-(H66*I2/100),2)</f>
        <v>1720.5</v>
      </c>
      <c r="J66" s="17">
        <v>269</v>
      </c>
      <c r="K66" s="18"/>
      <c r="L66" s="18"/>
      <c r="M66" s="20"/>
      <c r="N66" s="37">
        <f t="shared" si="0"/>
        <v>0</v>
      </c>
      <c r="O66" s="21">
        <v>2</v>
      </c>
      <c r="P66" s="22">
        <v>4.4759999999999999E-3</v>
      </c>
    </row>
    <row r="67" spans="1:16" s="1" customFormat="1" ht="119.1" customHeight="1" outlineLevel="3" x14ac:dyDescent="0.2">
      <c r="A67" s="11">
        <v>208907</v>
      </c>
      <c r="B67" s="12" t="s">
        <v>137</v>
      </c>
      <c r="C67" s="12" t="s">
        <v>22</v>
      </c>
      <c r="D67" s="13"/>
      <c r="E67" s="14" t="s">
        <v>138</v>
      </c>
      <c r="F67" s="15" t="s">
        <v>24</v>
      </c>
      <c r="G67" s="16"/>
      <c r="H67" s="36">
        <v>2507</v>
      </c>
      <c r="I67" s="36">
        <f>ROUND(H67-(H67*I2/100),2)</f>
        <v>2507</v>
      </c>
      <c r="J67" s="17">
        <v>206</v>
      </c>
      <c r="K67" s="18"/>
      <c r="L67" s="18"/>
      <c r="M67" s="20"/>
      <c r="N67" s="37">
        <f t="shared" si="0"/>
        <v>0</v>
      </c>
      <c r="O67" s="21">
        <v>2.875</v>
      </c>
      <c r="P67" s="22">
        <v>3.8500000000000001E-3</v>
      </c>
    </row>
    <row r="68" spans="1:16" s="1" customFormat="1" ht="119.1" customHeight="1" outlineLevel="3" x14ac:dyDescent="0.2">
      <c r="A68" s="11">
        <v>209598</v>
      </c>
      <c r="B68" s="12" t="s">
        <v>139</v>
      </c>
      <c r="C68" s="12" t="s">
        <v>22</v>
      </c>
      <c r="D68" s="13"/>
      <c r="E68" s="14" t="s">
        <v>140</v>
      </c>
      <c r="F68" s="15" t="s">
        <v>24</v>
      </c>
      <c r="G68" s="16"/>
      <c r="H68" s="36">
        <v>12464.4</v>
      </c>
      <c r="I68" s="36">
        <f>ROUND(H68-(H68*I2/100),2)</f>
        <v>12464.4</v>
      </c>
      <c r="J68" s="17">
        <v>4</v>
      </c>
      <c r="K68" s="18"/>
      <c r="L68" s="18"/>
      <c r="M68" s="20"/>
      <c r="N68" s="37">
        <f t="shared" si="0"/>
        <v>0</v>
      </c>
      <c r="O68" s="21">
        <v>5</v>
      </c>
      <c r="P68" s="22">
        <v>5.0000000000000001E-3</v>
      </c>
    </row>
    <row r="69" spans="1:16" s="1" customFormat="1" ht="119.1" customHeight="1" outlineLevel="3" x14ac:dyDescent="0.2">
      <c r="A69" s="11">
        <v>208900</v>
      </c>
      <c r="B69" s="12" t="s">
        <v>141</v>
      </c>
      <c r="C69" s="12" t="s">
        <v>22</v>
      </c>
      <c r="D69" s="13"/>
      <c r="E69" s="14" t="s">
        <v>142</v>
      </c>
      <c r="F69" s="15" t="s">
        <v>24</v>
      </c>
      <c r="G69" s="16"/>
      <c r="H69" s="36">
        <v>4151.3999999999996</v>
      </c>
      <c r="I69" s="36">
        <f>ROUND(H69-(H69*I2/100),2)</f>
        <v>4151.3999999999996</v>
      </c>
      <c r="J69" s="17">
        <v>47</v>
      </c>
      <c r="K69" s="18"/>
      <c r="L69" s="18"/>
      <c r="M69" s="20"/>
      <c r="N69" s="37">
        <f t="shared" si="0"/>
        <v>0</v>
      </c>
      <c r="O69" s="21">
        <v>0.81299999999999994</v>
      </c>
      <c r="P69" s="22">
        <v>4.4099999999999999E-3</v>
      </c>
    </row>
    <row r="70" spans="1:16" s="1" customFormat="1" ht="119.1" customHeight="1" outlineLevel="3" x14ac:dyDescent="0.2">
      <c r="A70" s="11">
        <v>208267</v>
      </c>
      <c r="B70" s="12" t="s">
        <v>143</v>
      </c>
      <c r="C70" s="12" t="s">
        <v>22</v>
      </c>
      <c r="D70" s="13"/>
      <c r="E70" s="14" t="s">
        <v>144</v>
      </c>
      <c r="F70" s="15" t="s">
        <v>24</v>
      </c>
      <c r="G70" s="16"/>
      <c r="H70" s="36">
        <v>2584</v>
      </c>
      <c r="I70" s="36">
        <f>ROUND(H70-(H70*I2/100),2)</f>
        <v>2584</v>
      </c>
      <c r="J70" s="17">
        <v>104</v>
      </c>
      <c r="K70" s="18"/>
      <c r="L70" s="18"/>
      <c r="M70" s="20"/>
      <c r="N70" s="37">
        <f t="shared" si="0"/>
        <v>0</v>
      </c>
      <c r="O70" s="21">
        <v>0.24399999999999999</v>
      </c>
      <c r="P70" s="22">
        <v>7.4600000000000003E-4</v>
      </c>
    </row>
    <row r="71" spans="1:16" s="1" customFormat="1" ht="119.1" customHeight="1" outlineLevel="3" x14ac:dyDescent="0.2">
      <c r="A71" s="11">
        <v>208268</v>
      </c>
      <c r="B71" s="12" t="s">
        <v>145</v>
      </c>
      <c r="C71" s="12" t="s">
        <v>22</v>
      </c>
      <c r="D71" s="13"/>
      <c r="E71" s="14" t="s">
        <v>146</v>
      </c>
      <c r="F71" s="15" t="s">
        <v>24</v>
      </c>
      <c r="G71" s="16"/>
      <c r="H71" s="36">
        <v>842.6</v>
      </c>
      <c r="I71" s="36">
        <f>ROUND(H71-(H71*I2/100),2)</f>
        <v>842.6</v>
      </c>
      <c r="J71" s="17">
        <v>32</v>
      </c>
      <c r="K71" s="18"/>
      <c r="L71" s="18"/>
      <c r="M71" s="20"/>
      <c r="N71" s="37">
        <f t="shared" si="0"/>
        <v>0</v>
      </c>
      <c r="O71" s="21">
        <v>0.125</v>
      </c>
      <c r="P71" s="22">
        <v>1.4790000000000001E-3</v>
      </c>
    </row>
    <row r="72" spans="1:16" s="1" customFormat="1" ht="119.1" customHeight="1" outlineLevel="3" x14ac:dyDescent="0.2">
      <c r="A72" s="11">
        <v>200286</v>
      </c>
      <c r="B72" s="12" t="s">
        <v>147</v>
      </c>
      <c r="C72" s="12" t="s">
        <v>50</v>
      </c>
      <c r="D72" s="13"/>
      <c r="E72" s="14" t="s">
        <v>148</v>
      </c>
      <c r="F72" s="15" t="s">
        <v>24</v>
      </c>
      <c r="G72" s="16"/>
      <c r="H72" s="36">
        <v>862.9</v>
      </c>
      <c r="I72" s="36">
        <f>ROUND(H72-(H72*I2/100),2)</f>
        <v>862.9</v>
      </c>
      <c r="J72" s="17">
        <v>16</v>
      </c>
      <c r="K72" s="18"/>
      <c r="L72" s="18"/>
      <c r="M72" s="20"/>
      <c r="N72" s="37">
        <f t="shared" si="0"/>
        <v>0</v>
      </c>
      <c r="O72" s="21">
        <v>0.8</v>
      </c>
      <c r="P72" s="22">
        <v>2E-3</v>
      </c>
    </row>
    <row r="73" spans="1:16" s="1" customFormat="1" ht="119.1" customHeight="1" outlineLevel="3" x14ac:dyDescent="0.2">
      <c r="A73" s="11">
        <v>200287</v>
      </c>
      <c r="B73" s="12" t="s">
        <v>149</v>
      </c>
      <c r="C73" s="12" t="s">
        <v>50</v>
      </c>
      <c r="D73" s="13"/>
      <c r="E73" s="14" t="s">
        <v>150</v>
      </c>
      <c r="F73" s="15" t="s">
        <v>24</v>
      </c>
      <c r="G73" s="16"/>
      <c r="H73" s="36">
        <v>1039.5</v>
      </c>
      <c r="I73" s="36">
        <f>ROUND(H73-(H73*I2/100),2)</f>
        <v>1039.5</v>
      </c>
      <c r="J73" s="17">
        <v>7</v>
      </c>
      <c r="K73" s="18"/>
      <c r="L73" s="18"/>
      <c r="M73" s="20"/>
      <c r="N73" s="37">
        <f t="shared" si="0"/>
        <v>0</v>
      </c>
      <c r="O73" s="21">
        <v>1.3</v>
      </c>
      <c r="P73" s="22">
        <v>2E-3</v>
      </c>
    </row>
    <row r="74" spans="1:16" s="8" customFormat="1" ht="15.95" customHeight="1" outlineLevel="2" x14ac:dyDescent="0.25">
      <c r="A74" s="9"/>
      <c r="B74" s="10"/>
      <c r="C74" s="10"/>
      <c r="D74" s="10" t="s">
        <v>151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s="8" customFormat="1" ht="15.95" customHeight="1" outlineLevel="3" x14ac:dyDescent="0.25">
      <c r="A75" s="9"/>
      <c r="B75" s="10"/>
      <c r="C75" s="10"/>
      <c r="D75" s="10" t="s">
        <v>152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s="1" customFormat="1" ht="119.1" customHeight="1" outlineLevel="4" x14ac:dyDescent="0.2">
      <c r="A76" s="11">
        <v>188439</v>
      </c>
      <c r="B76" s="12" t="s">
        <v>153</v>
      </c>
      <c r="C76" s="12" t="s">
        <v>22</v>
      </c>
      <c r="D76" s="13"/>
      <c r="E76" s="14" t="s">
        <v>154</v>
      </c>
      <c r="F76" s="15" t="s">
        <v>24</v>
      </c>
      <c r="G76" s="16"/>
      <c r="H76" s="36">
        <v>282.3</v>
      </c>
      <c r="I76" s="36">
        <f>ROUND(H76-(H76*I2/100),2)</f>
        <v>282.3</v>
      </c>
      <c r="J76" s="17">
        <v>141</v>
      </c>
      <c r="K76" s="18"/>
      <c r="L76" s="18"/>
      <c r="M76" s="20"/>
      <c r="N76" s="37">
        <f>I76*M76</f>
        <v>0</v>
      </c>
      <c r="O76" s="21">
        <v>0.3</v>
      </c>
      <c r="P76" s="22">
        <v>2.9999999999999997E-4</v>
      </c>
    </row>
    <row r="77" spans="1:16" s="1" customFormat="1" ht="119.1" customHeight="1" outlineLevel="4" x14ac:dyDescent="0.2">
      <c r="A77" s="11">
        <v>177298</v>
      </c>
      <c r="B77" s="12" t="s">
        <v>155</v>
      </c>
      <c r="C77" s="12" t="s">
        <v>22</v>
      </c>
      <c r="D77" s="23"/>
      <c r="E77" s="24" t="s">
        <v>156</v>
      </c>
      <c r="F77" s="25" t="s">
        <v>24</v>
      </c>
      <c r="G77" s="26" t="s">
        <v>39</v>
      </c>
      <c r="H77" s="36">
        <v>78.17</v>
      </c>
      <c r="I77" s="36">
        <f>H77</f>
        <v>78.17</v>
      </c>
      <c r="J77" s="17">
        <v>54</v>
      </c>
      <c r="K77" s="18"/>
      <c r="L77" s="18"/>
      <c r="M77" s="20"/>
      <c r="N77" s="37">
        <f>I77*M77</f>
        <v>0</v>
      </c>
      <c r="O77" s="21">
        <v>5.6000000000000001E-2</v>
      </c>
      <c r="P77" s="22">
        <v>4.66E-4</v>
      </c>
    </row>
    <row r="78" spans="1:16" s="8" customFormat="1" ht="15.95" customHeight="1" outlineLevel="2" x14ac:dyDescent="0.25">
      <c r="A78" s="9"/>
      <c r="B78" s="10"/>
      <c r="C78" s="10"/>
      <c r="D78" s="10" t="s">
        <v>157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s="1" customFormat="1" ht="119.1" customHeight="1" outlineLevel="3" x14ac:dyDescent="0.2">
      <c r="A79" s="11">
        <v>187899</v>
      </c>
      <c r="B79" s="12" t="s">
        <v>158</v>
      </c>
      <c r="C79" s="12" t="s">
        <v>22</v>
      </c>
      <c r="D79" s="13"/>
      <c r="E79" s="14" t="s">
        <v>159</v>
      </c>
      <c r="F79" s="15" t="s">
        <v>160</v>
      </c>
      <c r="G79" s="16"/>
      <c r="H79" s="36">
        <v>1405.6</v>
      </c>
      <c r="I79" s="36">
        <f>ROUND(H79-(H79*I2/100),2)</f>
        <v>1405.6</v>
      </c>
      <c r="J79" s="17">
        <v>39</v>
      </c>
      <c r="K79" s="18"/>
      <c r="L79" s="18"/>
      <c r="M79" s="20"/>
      <c r="N79" s="37">
        <f t="shared" ref="N79:N86" si="1">I79*M79</f>
        <v>0</v>
      </c>
      <c r="O79" s="21">
        <v>0.91700000000000004</v>
      </c>
      <c r="P79" s="22">
        <v>5.7670000000000004E-3</v>
      </c>
    </row>
    <row r="80" spans="1:16" s="1" customFormat="1" ht="119.1" customHeight="1" outlineLevel="3" x14ac:dyDescent="0.2">
      <c r="A80" s="11">
        <v>217028</v>
      </c>
      <c r="B80" s="12" t="s">
        <v>161</v>
      </c>
      <c r="C80" s="12" t="s">
        <v>50</v>
      </c>
      <c r="D80" s="13"/>
      <c r="E80" s="14" t="s">
        <v>162</v>
      </c>
      <c r="F80" s="15" t="s">
        <v>160</v>
      </c>
      <c r="G80" s="16"/>
      <c r="H80" s="36">
        <v>907.5</v>
      </c>
      <c r="I80" s="36">
        <f>ROUND(H80-(H80*I2/100),2)</f>
        <v>907.5</v>
      </c>
      <c r="J80" s="17">
        <v>3</v>
      </c>
      <c r="K80" s="18"/>
      <c r="L80" s="18"/>
      <c r="M80" s="20"/>
      <c r="N80" s="37">
        <f t="shared" si="1"/>
        <v>0</v>
      </c>
      <c r="O80" s="21">
        <v>0.38900000000000001</v>
      </c>
      <c r="P80" s="22">
        <v>2.5600000000000002E-3</v>
      </c>
    </row>
    <row r="81" spans="1:16" s="1" customFormat="1" ht="119.1" customHeight="1" outlineLevel="3" x14ac:dyDescent="0.2">
      <c r="A81" s="11">
        <v>170945</v>
      </c>
      <c r="B81" s="12" t="s">
        <v>163</v>
      </c>
      <c r="C81" s="12" t="s">
        <v>22</v>
      </c>
      <c r="D81" s="13"/>
      <c r="E81" s="14" t="s">
        <v>164</v>
      </c>
      <c r="F81" s="15" t="s">
        <v>24</v>
      </c>
      <c r="G81" s="16"/>
      <c r="H81" s="36">
        <v>153.9</v>
      </c>
      <c r="I81" s="36">
        <f>ROUND(H81-(H81*I2/100),2)</f>
        <v>153.9</v>
      </c>
      <c r="J81" s="27">
        <v>1094</v>
      </c>
      <c r="K81" s="18"/>
      <c r="L81" s="18"/>
      <c r="M81" s="20"/>
      <c r="N81" s="37">
        <f t="shared" si="1"/>
        <v>0</v>
      </c>
      <c r="O81" s="21">
        <v>0.06</v>
      </c>
      <c r="P81" s="22">
        <v>1.836E-3</v>
      </c>
    </row>
    <row r="82" spans="1:16" s="1" customFormat="1" ht="119.1" customHeight="1" outlineLevel="3" x14ac:dyDescent="0.2">
      <c r="A82" s="11">
        <v>170947</v>
      </c>
      <c r="B82" s="12" t="s">
        <v>165</v>
      </c>
      <c r="C82" s="12" t="s">
        <v>22</v>
      </c>
      <c r="D82" s="13"/>
      <c r="E82" s="14" t="s">
        <v>166</v>
      </c>
      <c r="F82" s="15" t="s">
        <v>24</v>
      </c>
      <c r="G82" s="16"/>
      <c r="H82" s="36">
        <v>158.6</v>
      </c>
      <c r="I82" s="36">
        <f>ROUND(H82-(H82*I2/100),2)</f>
        <v>158.6</v>
      </c>
      <c r="J82" s="17">
        <v>874</v>
      </c>
      <c r="K82" s="18"/>
      <c r="L82" s="18"/>
      <c r="M82" s="20"/>
      <c r="N82" s="37">
        <f t="shared" si="1"/>
        <v>0</v>
      </c>
      <c r="O82" s="21">
        <v>6.8000000000000005E-2</v>
      </c>
      <c r="P82" s="22">
        <v>1.683E-3</v>
      </c>
    </row>
    <row r="83" spans="1:16" s="1" customFormat="1" ht="119.1" customHeight="1" outlineLevel="3" x14ac:dyDescent="0.2">
      <c r="A83" s="11">
        <v>187898</v>
      </c>
      <c r="B83" s="12" t="s">
        <v>167</v>
      </c>
      <c r="C83" s="12" t="s">
        <v>22</v>
      </c>
      <c r="D83" s="13"/>
      <c r="E83" s="14" t="s">
        <v>168</v>
      </c>
      <c r="F83" s="15" t="s">
        <v>24</v>
      </c>
      <c r="G83" s="16"/>
      <c r="H83" s="36">
        <v>141.30000000000001</v>
      </c>
      <c r="I83" s="36">
        <f>ROUND(H83-(H83*I2/100),2)</f>
        <v>141.30000000000001</v>
      </c>
      <c r="J83" s="17">
        <v>156</v>
      </c>
      <c r="K83" s="18"/>
      <c r="L83" s="18"/>
      <c r="M83" s="20"/>
      <c r="N83" s="37">
        <f t="shared" si="1"/>
        <v>0</v>
      </c>
      <c r="O83" s="21">
        <v>6.4000000000000001E-2</v>
      </c>
      <c r="P83" s="22">
        <v>1.683E-3</v>
      </c>
    </row>
    <row r="84" spans="1:16" s="1" customFormat="1" ht="119.1" customHeight="1" outlineLevel="3" x14ac:dyDescent="0.2">
      <c r="A84" s="11">
        <v>188444</v>
      </c>
      <c r="B84" s="12" t="s">
        <v>169</v>
      </c>
      <c r="C84" s="12" t="s">
        <v>22</v>
      </c>
      <c r="D84" s="13"/>
      <c r="E84" s="14" t="s">
        <v>170</v>
      </c>
      <c r="F84" s="15" t="s">
        <v>24</v>
      </c>
      <c r="G84" s="16"/>
      <c r="H84" s="36">
        <v>141.30000000000001</v>
      </c>
      <c r="I84" s="36">
        <f>ROUND(H84-(H84*I2/100),2)</f>
        <v>141.30000000000001</v>
      </c>
      <c r="J84" s="17">
        <v>241</v>
      </c>
      <c r="K84" s="18"/>
      <c r="L84" s="18"/>
      <c r="M84" s="20"/>
      <c r="N84" s="37">
        <f t="shared" si="1"/>
        <v>0</v>
      </c>
      <c r="O84" s="21">
        <v>6.4000000000000001E-2</v>
      </c>
      <c r="P84" s="22">
        <v>1.683E-3</v>
      </c>
    </row>
    <row r="85" spans="1:16" s="1" customFormat="1" ht="119.1" customHeight="1" outlineLevel="3" x14ac:dyDescent="0.2">
      <c r="A85" s="11">
        <v>183797</v>
      </c>
      <c r="B85" s="12" t="s">
        <v>171</v>
      </c>
      <c r="C85" s="12" t="s">
        <v>22</v>
      </c>
      <c r="D85" s="13"/>
      <c r="E85" s="14" t="s">
        <v>172</v>
      </c>
      <c r="F85" s="15" t="s">
        <v>24</v>
      </c>
      <c r="G85" s="16"/>
      <c r="H85" s="36">
        <v>532.1</v>
      </c>
      <c r="I85" s="36">
        <f>ROUND(H85-(H85*I2/100),2)</f>
        <v>532.1</v>
      </c>
      <c r="J85" s="27">
        <v>1066</v>
      </c>
      <c r="K85" s="18"/>
      <c r="L85" s="18"/>
      <c r="M85" s="20"/>
      <c r="N85" s="37">
        <f t="shared" si="1"/>
        <v>0</v>
      </c>
      <c r="O85" s="21">
        <v>0.26500000000000001</v>
      </c>
      <c r="P85" s="22">
        <v>1.9724999999999999E-2</v>
      </c>
    </row>
    <row r="86" spans="1:16" s="1" customFormat="1" ht="119.1" customHeight="1" outlineLevel="3" x14ac:dyDescent="0.2">
      <c r="A86" s="11">
        <v>190874</v>
      </c>
      <c r="B86" s="12" t="s">
        <v>173</v>
      </c>
      <c r="C86" s="12" t="s">
        <v>22</v>
      </c>
      <c r="D86" s="13"/>
      <c r="E86" s="14" t="s">
        <v>174</v>
      </c>
      <c r="F86" s="15" t="s">
        <v>24</v>
      </c>
      <c r="G86" s="16"/>
      <c r="H86" s="36">
        <v>530.20000000000005</v>
      </c>
      <c r="I86" s="36">
        <f>ROUND(H86-(H86*I2/100),2)</f>
        <v>530.20000000000005</v>
      </c>
      <c r="J86" s="17">
        <v>448</v>
      </c>
      <c r="K86" s="18"/>
      <c r="L86" s="18"/>
      <c r="M86" s="20"/>
      <c r="N86" s="37">
        <f t="shared" si="1"/>
        <v>0</v>
      </c>
      <c r="O86" s="21">
        <v>0.21</v>
      </c>
      <c r="P86" s="22">
        <v>1.8009000000000001E-2</v>
      </c>
    </row>
    <row r="87" spans="1:16" s="8" customFormat="1" ht="15.95" customHeight="1" outlineLevel="2" x14ac:dyDescent="0.25">
      <c r="A87" s="9"/>
      <c r="B87" s="10"/>
      <c r="C87" s="10"/>
      <c r="D87" s="10" t="s">
        <v>175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s="8" customFormat="1" ht="15.95" customHeight="1" outlineLevel="3" x14ac:dyDescent="0.25">
      <c r="A88" s="9"/>
      <c r="B88" s="10"/>
      <c r="C88" s="10"/>
      <c r="D88" s="10" t="s">
        <v>176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s="1" customFormat="1" ht="119.1" customHeight="1" outlineLevel="4" x14ac:dyDescent="0.2">
      <c r="A89" s="11">
        <v>217023</v>
      </c>
      <c r="B89" s="12" t="s">
        <v>177</v>
      </c>
      <c r="C89" s="12" t="s">
        <v>50</v>
      </c>
      <c r="D89" s="13"/>
      <c r="E89" s="14" t="s">
        <v>178</v>
      </c>
      <c r="F89" s="15" t="s">
        <v>24</v>
      </c>
      <c r="G89" s="16"/>
      <c r="H89" s="36">
        <v>82.3</v>
      </c>
      <c r="I89" s="36">
        <f>ROUND(H89-(H89*I2/100),2)</f>
        <v>82.3</v>
      </c>
      <c r="J89" s="17">
        <v>635</v>
      </c>
      <c r="K89" s="18"/>
      <c r="L89" s="18"/>
      <c r="M89" s="20"/>
      <c r="N89" s="37">
        <f t="shared" ref="N89:N114" si="2">I89*M89</f>
        <v>0</v>
      </c>
      <c r="O89" s="21">
        <v>6.7000000000000004E-2</v>
      </c>
      <c r="P89" s="22">
        <v>1.2E-5</v>
      </c>
    </row>
    <row r="90" spans="1:16" s="1" customFormat="1" ht="119.1" customHeight="1" outlineLevel="4" x14ac:dyDescent="0.2">
      <c r="A90" s="11">
        <v>200290</v>
      </c>
      <c r="B90" s="12" t="s">
        <v>179</v>
      </c>
      <c r="C90" s="12" t="s">
        <v>50</v>
      </c>
      <c r="D90" s="13"/>
      <c r="E90" s="14" t="s">
        <v>180</v>
      </c>
      <c r="F90" s="15" t="s">
        <v>24</v>
      </c>
      <c r="G90" s="16"/>
      <c r="H90" s="36">
        <v>174.5</v>
      </c>
      <c r="I90" s="36">
        <f>ROUND(H90-(H90*I2/100),2)</f>
        <v>174.5</v>
      </c>
      <c r="J90" s="17">
        <v>84</v>
      </c>
      <c r="K90" s="18"/>
      <c r="L90" s="18"/>
      <c r="M90" s="20"/>
      <c r="N90" s="37">
        <f t="shared" si="2"/>
        <v>0</v>
      </c>
      <c r="O90" s="21">
        <v>0.13</v>
      </c>
      <c r="P90" s="22">
        <v>2.0000000000000001E-4</v>
      </c>
    </row>
    <row r="91" spans="1:16" s="1" customFormat="1" ht="119.1" customHeight="1" outlineLevel="4" x14ac:dyDescent="0.2">
      <c r="A91" s="11">
        <v>216891</v>
      </c>
      <c r="B91" s="12" t="s">
        <v>181</v>
      </c>
      <c r="C91" s="12" t="s">
        <v>50</v>
      </c>
      <c r="D91" s="13"/>
      <c r="E91" s="14" t="s">
        <v>182</v>
      </c>
      <c r="F91" s="15" t="s">
        <v>24</v>
      </c>
      <c r="G91" s="16"/>
      <c r="H91" s="36">
        <v>191.9</v>
      </c>
      <c r="I91" s="36">
        <f>ROUND(H91-(H91*I2/100),2)</f>
        <v>191.9</v>
      </c>
      <c r="J91" s="17">
        <v>310</v>
      </c>
      <c r="K91" s="18"/>
      <c r="L91" s="18"/>
      <c r="M91" s="20"/>
      <c r="N91" s="37">
        <f t="shared" si="2"/>
        <v>0</v>
      </c>
      <c r="O91" s="21">
        <v>0.13400000000000001</v>
      </c>
      <c r="P91" s="22">
        <v>5.1E-5</v>
      </c>
    </row>
    <row r="92" spans="1:16" s="1" customFormat="1" ht="119.1" customHeight="1" outlineLevel="4" x14ac:dyDescent="0.2">
      <c r="A92" s="11">
        <v>200291</v>
      </c>
      <c r="B92" s="12" t="s">
        <v>183</v>
      </c>
      <c r="C92" s="12" t="s">
        <v>50</v>
      </c>
      <c r="D92" s="13"/>
      <c r="E92" s="14" t="s">
        <v>184</v>
      </c>
      <c r="F92" s="15" t="s">
        <v>24</v>
      </c>
      <c r="G92" s="16"/>
      <c r="H92" s="36">
        <v>411.9</v>
      </c>
      <c r="I92" s="36">
        <f>ROUND(H92-(H92*I2/100),2)</f>
        <v>411.9</v>
      </c>
      <c r="J92" s="17">
        <v>176</v>
      </c>
      <c r="K92" s="18"/>
      <c r="L92" s="18"/>
      <c r="M92" s="20"/>
      <c r="N92" s="37">
        <f t="shared" si="2"/>
        <v>0</v>
      </c>
      <c r="O92" s="21">
        <v>0.34</v>
      </c>
      <c r="P92" s="22">
        <v>2.0000000000000001E-4</v>
      </c>
    </row>
    <row r="93" spans="1:16" s="1" customFormat="1" ht="119.1" customHeight="1" outlineLevel="4" x14ac:dyDescent="0.2">
      <c r="A93" s="11">
        <v>183341</v>
      </c>
      <c r="B93" s="12" t="s">
        <v>185</v>
      </c>
      <c r="C93" s="12" t="s">
        <v>22</v>
      </c>
      <c r="D93" s="13"/>
      <c r="E93" s="14" t="s">
        <v>186</v>
      </c>
      <c r="F93" s="15" t="s">
        <v>24</v>
      </c>
      <c r="G93" s="16"/>
      <c r="H93" s="36">
        <v>104.1</v>
      </c>
      <c r="I93" s="36">
        <f>ROUND(H93-(H93*I2/100),2)</f>
        <v>104.1</v>
      </c>
      <c r="J93" s="17">
        <v>731</v>
      </c>
      <c r="K93" s="18"/>
      <c r="L93" s="18"/>
      <c r="M93" s="20"/>
      <c r="N93" s="37">
        <f t="shared" si="2"/>
        <v>0</v>
      </c>
      <c r="O93" s="21">
        <v>9.1999999999999998E-2</v>
      </c>
      <c r="P93" s="22">
        <v>1.1900000000000001E-4</v>
      </c>
    </row>
    <row r="94" spans="1:16" s="1" customFormat="1" ht="119.1" customHeight="1" outlineLevel="4" x14ac:dyDescent="0.2">
      <c r="A94" s="11">
        <v>216976</v>
      </c>
      <c r="B94" s="12" t="s">
        <v>187</v>
      </c>
      <c r="C94" s="12" t="s">
        <v>50</v>
      </c>
      <c r="D94" s="13"/>
      <c r="E94" s="14" t="s">
        <v>188</v>
      </c>
      <c r="F94" s="15" t="s">
        <v>24</v>
      </c>
      <c r="G94" s="16"/>
      <c r="H94" s="36">
        <v>81.900000000000006</v>
      </c>
      <c r="I94" s="36">
        <f>ROUND(H94-(H94*I2/100),2)</f>
        <v>81.900000000000006</v>
      </c>
      <c r="J94" s="27">
        <v>1430</v>
      </c>
      <c r="K94" s="18"/>
      <c r="L94" s="18"/>
      <c r="M94" s="20"/>
      <c r="N94" s="37">
        <f t="shared" si="2"/>
        <v>0</v>
      </c>
      <c r="O94" s="21">
        <v>0.1</v>
      </c>
      <c r="P94" s="22">
        <v>1.4799999999999999E-4</v>
      </c>
    </row>
    <row r="95" spans="1:16" s="1" customFormat="1" ht="119.1" customHeight="1" outlineLevel="4" x14ac:dyDescent="0.2">
      <c r="A95" s="11">
        <v>189180</v>
      </c>
      <c r="B95" s="12" t="s">
        <v>189</v>
      </c>
      <c r="C95" s="12" t="s">
        <v>22</v>
      </c>
      <c r="D95" s="13"/>
      <c r="E95" s="14" t="s">
        <v>190</v>
      </c>
      <c r="F95" s="15" t="s">
        <v>24</v>
      </c>
      <c r="G95" s="16"/>
      <c r="H95" s="36">
        <v>240.4</v>
      </c>
      <c r="I95" s="36">
        <f>ROUND(H95-(H95*I2/100),2)</f>
        <v>240.4</v>
      </c>
      <c r="J95" s="17">
        <v>320</v>
      </c>
      <c r="K95" s="18"/>
      <c r="L95" s="18"/>
      <c r="M95" s="20"/>
      <c r="N95" s="37">
        <f t="shared" si="2"/>
        <v>0</v>
      </c>
      <c r="O95" s="21">
        <v>0.20799999999999999</v>
      </c>
      <c r="P95" s="22">
        <v>3.2000000000000003E-4</v>
      </c>
    </row>
    <row r="96" spans="1:16" s="1" customFormat="1" ht="119.1" customHeight="1" outlineLevel="4" x14ac:dyDescent="0.2">
      <c r="A96" s="11">
        <v>191256</v>
      </c>
      <c r="B96" s="12" t="s">
        <v>191</v>
      </c>
      <c r="C96" s="12" t="s">
        <v>22</v>
      </c>
      <c r="D96" s="13"/>
      <c r="E96" s="14" t="s">
        <v>192</v>
      </c>
      <c r="F96" s="15" t="s">
        <v>24</v>
      </c>
      <c r="G96" s="16"/>
      <c r="H96" s="36">
        <v>196.7</v>
      </c>
      <c r="I96" s="36">
        <f>ROUND(H96-(H96*I2/100),2)</f>
        <v>196.7</v>
      </c>
      <c r="J96" s="17">
        <v>204</v>
      </c>
      <c r="K96" s="18"/>
      <c r="L96" s="18"/>
      <c r="M96" s="20"/>
      <c r="N96" s="37">
        <f t="shared" si="2"/>
        <v>0</v>
      </c>
      <c r="O96" s="21">
        <v>0.17499999999999999</v>
      </c>
      <c r="P96" s="22">
        <v>1.92E-4</v>
      </c>
    </row>
    <row r="97" spans="1:16" s="1" customFormat="1" ht="119.1" customHeight="1" outlineLevel="4" x14ac:dyDescent="0.2">
      <c r="A97" s="11">
        <v>216977</v>
      </c>
      <c r="B97" s="12" t="s">
        <v>193</v>
      </c>
      <c r="C97" s="12" t="s">
        <v>50</v>
      </c>
      <c r="D97" s="13"/>
      <c r="E97" s="14" t="s">
        <v>194</v>
      </c>
      <c r="F97" s="15" t="s">
        <v>24</v>
      </c>
      <c r="G97" s="16"/>
      <c r="H97" s="36">
        <v>126.4</v>
      </c>
      <c r="I97" s="36">
        <f>ROUND(H97-(H97*I2/100),2)</f>
        <v>126.4</v>
      </c>
      <c r="J97" s="27">
        <v>1045</v>
      </c>
      <c r="K97" s="18"/>
      <c r="L97" s="18"/>
      <c r="M97" s="20"/>
      <c r="N97" s="37">
        <f t="shared" si="2"/>
        <v>0</v>
      </c>
      <c r="O97" s="21">
        <v>0.17299999999999999</v>
      </c>
      <c r="P97" s="22">
        <v>1.5899999999999999E-4</v>
      </c>
    </row>
    <row r="98" spans="1:16" s="1" customFormat="1" ht="119.1" customHeight="1" outlineLevel="4" x14ac:dyDescent="0.2">
      <c r="A98" s="11">
        <v>183343</v>
      </c>
      <c r="B98" s="12" t="s">
        <v>195</v>
      </c>
      <c r="C98" s="12" t="s">
        <v>22</v>
      </c>
      <c r="D98" s="13"/>
      <c r="E98" s="14" t="s">
        <v>196</v>
      </c>
      <c r="F98" s="15" t="s">
        <v>24</v>
      </c>
      <c r="G98" s="16"/>
      <c r="H98" s="36">
        <v>212.8</v>
      </c>
      <c r="I98" s="36">
        <f>ROUND(H98-(H98*I2/100),2)</f>
        <v>212.8</v>
      </c>
      <c r="J98" s="17">
        <v>470</v>
      </c>
      <c r="K98" s="18"/>
      <c r="L98" s="18"/>
      <c r="M98" s="20"/>
      <c r="N98" s="37">
        <f t="shared" si="2"/>
        <v>0</v>
      </c>
      <c r="O98" s="21">
        <v>0.22500000000000001</v>
      </c>
      <c r="P98" s="22">
        <v>1.76E-4</v>
      </c>
    </row>
    <row r="99" spans="1:16" s="1" customFormat="1" ht="119.1" customHeight="1" outlineLevel="4" x14ac:dyDescent="0.2">
      <c r="A99" s="11">
        <v>192881</v>
      </c>
      <c r="B99" s="12" t="s">
        <v>197</v>
      </c>
      <c r="C99" s="12" t="s">
        <v>22</v>
      </c>
      <c r="D99" s="13"/>
      <c r="E99" s="14" t="s">
        <v>198</v>
      </c>
      <c r="F99" s="15" t="s">
        <v>24</v>
      </c>
      <c r="G99" s="16"/>
      <c r="H99" s="36">
        <v>240.3</v>
      </c>
      <c r="I99" s="36">
        <f>ROUND(H99-(H99*I2/100),2)</f>
        <v>240.3</v>
      </c>
      <c r="J99" s="17">
        <v>84</v>
      </c>
      <c r="K99" s="18"/>
      <c r="L99" s="18"/>
      <c r="M99" s="20"/>
      <c r="N99" s="37">
        <f t="shared" si="2"/>
        <v>0</v>
      </c>
      <c r="O99" s="21">
        <v>0.22500000000000001</v>
      </c>
      <c r="P99" s="22">
        <v>2.23E-4</v>
      </c>
    </row>
    <row r="100" spans="1:16" s="1" customFormat="1" ht="119.1" customHeight="1" outlineLevel="4" x14ac:dyDescent="0.2">
      <c r="A100" s="11">
        <v>216978</v>
      </c>
      <c r="B100" s="12" t="s">
        <v>199</v>
      </c>
      <c r="C100" s="12" t="s">
        <v>50</v>
      </c>
      <c r="D100" s="13"/>
      <c r="E100" s="14" t="s">
        <v>200</v>
      </c>
      <c r="F100" s="15" t="s">
        <v>24</v>
      </c>
      <c r="G100" s="16"/>
      <c r="H100" s="36">
        <v>167</v>
      </c>
      <c r="I100" s="36">
        <f>ROUND(H100-(H100*I2/100),2)</f>
        <v>167</v>
      </c>
      <c r="J100" s="27">
        <v>1087</v>
      </c>
      <c r="K100" s="18"/>
      <c r="L100" s="18"/>
      <c r="M100" s="20"/>
      <c r="N100" s="37">
        <f t="shared" si="2"/>
        <v>0</v>
      </c>
      <c r="O100" s="21">
        <v>0.20399999999999999</v>
      </c>
      <c r="P100" s="22">
        <v>1.9599999999999999E-4</v>
      </c>
    </row>
    <row r="101" spans="1:16" s="1" customFormat="1" ht="119.1" customHeight="1" outlineLevel="4" x14ac:dyDescent="0.2">
      <c r="A101" s="11">
        <v>210070</v>
      </c>
      <c r="B101" s="12" t="s">
        <v>201</v>
      </c>
      <c r="C101" s="12" t="s">
        <v>22</v>
      </c>
      <c r="D101" s="13"/>
      <c r="E101" s="14" t="s">
        <v>202</v>
      </c>
      <c r="F101" s="15" t="s">
        <v>24</v>
      </c>
      <c r="G101" s="16"/>
      <c r="H101" s="36">
        <v>676.7</v>
      </c>
      <c r="I101" s="36">
        <f>ROUND(H101-(H101*I2/100),2)</f>
        <v>676.7</v>
      </c>
      <c r="J101" s="17">
        <v>396</v>
      </c>
      <c r="K101" s="18"/>
      <c r="L101" s="18"/>
      <c r="M101" s="20"/>
      <c r="N101" s="37">
        <f t="shared" si="2"/>
        <v>0</v>
      </c>
      <c r="O101" s="21">
        <v>0.44800000000000001</v>
      </c>
      <c r="P101" s="22">
        <v>1.2899999999999999E-3</v>
      </c>
    </row>
    <row r="102" spans="1:16" s="1" customFormat="1" ht="119.1" customHeight="1" outlineLevel="4" x14ac:dyDescent="0.2">
      <c r="A102" s="11">
        <v>216979</v>
      </c>
      <c r="B102" s="12" t="s">
        <v>203</v>
      </c>
      <c r="C102" s="12" t="s">
        <v>50</v>
      </c>
      <c r="D102" s="13"/>
      <c r="E102" s="14" t="s">
        <v>204</v>
      </c>
      <c r="F102" s="15" t="s">
        <v>24</v>
      </c>
      <c r="G102" s="16"/>
      <c r="H102" s="36">
        <v>255.1</v>
      </c>
      <c r="I102" s="36">
        <f>ROUND(H102-(H102*I2/100),2)</f>
        <v>255.1</v>
      </c>
      <c r="J102" s="17">
        <v>709</v>
      </c>
      <c r="K102" s="18"/>
      <c r="L102" s="18"/>
      <c r="M102" s="20"/>
      <c r="N102" s="37">
        <f t="shared" si="2"/>
        <v>0</v>
      </c>
      <c r="O102" s="21">
        <v>0.33300000000000002</v>
      </c>
      <c r="P102" s="22">
        <v>2.52E-4</v>
      </c>
    </row>
    <row r="103" spans="1:16" s="1" customFormat="1" ht="119.1" customHeight="1" outlineLevel="4" x14ac:dyDescent="0.2">
      <c r="A103" s="11">
        <v>183344</v>
      </c>
      <c r="B103" s="12" t="s">
        <v>205</v>
      </c>
      <c r="C103" s="12" t="s">
        <v>22</v>
      </c>
      <c r="D103" s="13"/>
      <c r="E103" s="14" t="s">
        <v>206</v>
      </c>
      <c r="F103" s="15" t="s">
        <v>24</v>
      </c>
      <c r="G103" s="16"/>
      <c r="H103" s="36">
        <v>346.2</v>
      </c>
      <c r="I103" s="36">
        <f>ROUND(H103-(H103*I2/100),2)</f>
        <v>346.2</v>
      </c>
      <c r="J103" s="17">
        <v>377</v>
      </c>
      <c r="K103" s="18"/>
      <c r="L103" s="18"/>
      <c r="M103" s="20"/>
      <c r="N103" s="37">
        <f t="shared" si="2"/>
        <v>0</v>
      </c>
      <c r="O103" s="21">
        <v>0.33300000000000002</v>
      </c>
      <c r="P103" s="22">
        <v>3.2499999999999999E-4</v>
      </c>
    </row>
    <row r="104" spans="1:16" s="1" customFormat="1" ht="119.1" customHeight="1" outlineLevel="4" x14ac:dyDescent="0.2">
      <c r="A104" s="11">
        <v>210071</v>
      </c>
      <c r="B104" s="12" t="s">
        <v>207</v>
      </c>
      <c r="C104" s="12" t="s">
        <v>22</v>
      </c>
      <c r="D104" s="28"/>
      <c r="E104" s="29" t="s">
        <v>208</v>
      </c>
      <c r="F104" s="30" t="s">
        <v>24</v>
      </c>
      <c r="G104" s="31" t="s">
        <v>209</v>
      </c>
      <c r="H104" s="36">
        <v>938</v>
      </c>
      <c r="I104" s="36">
        <f>ROUND(H104-(H104*I2/100),2)</f>
        <v>938</v>
      </c>
      <c r="J104" s="17">
        <v>438</v>
      </c>
      <c r="K104" s="18"/>
      <c r="L104" s="18"/>
      <c r="M104" s="20"/>
      <c r="N104" s="37">
        <f t="shared" si="2"/>
        <v>0</v>
      </c>
      <c r="O104" s="21">
        <v>0.625</v>
      </c>
      <c r="P104" s="22">
        <v>2.0500000000000002E-3</v>
      </c>
    </row>
    <row r="105" spans="1:16" s="1" customFormat="1" ht="119.1" customHeight="1" outlineLevel="4" x14ac:dyDescent="0.2">
      <c r="A105" s="11">
        <v>186197</v>
      </c>
      <c r="B105" s="12" t="s">
        <v>210</v>
      </c>
      <c r="C105" s="12" t="s">
        <v>22</v>
      </c>
      <c r="D105" s="13"/>
      <c r="E105" s="14" t="s">
        <v>211</v>
      </c>
      <c r="F105" s="15" t="s">
        <v>24</v>
      </c>
      <c r="G105" s="16"/>
      <c r="H105" s="36">
        <v>703.6</v>
      </c>
      <c r="I105" s="36">
        <f>ROUND(H105-(H105*I2/100),2)</f>
        <v>703.6</v>
      </c>
      <c r="J105" s="17">
        <v>98</v>
      </c>
      <c r="K105" s="18"/>
      <c r="L105" s="18"/>
      <c r="M105" s="20"/>
      <c r="N105" s="37">
        <f t="shared" si="2"/>
        <v>0</v>
      </c>
      <c r="O105" s="21">
        <v>0.48799999999999999</v>
      </c>
      <c r="P105" s="22">
        <v>5.62E-4</v>
      </c>
    </row>
    <row r="106" spans="1:16" s="1" customFormat="1" ht="119.1" customHeight="1" outlineLevel="4" x14ac:dyDescent="0.2">
      <c r="A106" s="11">
        <v>207357</v>
      </c>
      <c r="B106" s="12" t="s">
        <v>212</v>
      </c>
      <c r="C106" s="12" t="s">
        <v>50</v>
      </c>
      <c r="D106" s="13"/>
      <c r="E106" s="14" t="s">
        <v>213</v>
      </c>
      <c r="F106" s="15" t="s">
        <v>24</v>
      </c>
      <c r="G106" s="16"/>
      <c r="H106" s="36">
        <v>282.7</v>
      </c>
      <c r="I106" s="36">
        <f>ROUND(H106-(H106*I2/100),2)</f>
        <v>282.7</v>
      </c>
      <c r="J106" s="17">
        <v>223</v>
      </c>
      <c r="K106" s="18"/>
      <c r="L106" s="18"/>
      <c r="M106" s="20"/>
      <c r="N106" s="37">
        <f t="shared" si="2"/>
        <v>0</v>
      </c>
      <c r="O106" s="21">
        <v>0.36799999999999999</v>
      </c>
      <c r="P106" s="22">
        <v>1.2999999999999999E-4</v>
      </c>
    </row>
    <row r="107" spans="1:16" s="1" customFormat="1" ht="119.1" customHeight="1" outlineLevel="4" x14ac:dyDescent="0.2">
      <c r="A107" s="11">
        <v>218410</v>
      </c>
      <c r="B107" s="12" t="s">
        <v>214</v>
      </c>
      <c r="C107" s="12" t="s">
        <v>22</v>
      </c>
      <c r="D107" s="13"/>
      <c r="E107" s="14" t="s">
        <v>215</v>
      </c>
      <c r="F107" s="15" t="s">
        <v>24</v>
      </c>
      <c r="G107" s="16"/>
      <c r="H107" s="36">
        <v>718.2</v>
      </c>
      <c r="I107" s="36">
        <f>ROUND(H107-(H107*I2/100),2)</f>
        <v>718.2</v>
      </c>
      <c r="J107" s="17">
        <v>19</v>
      </c>
      <c r="K107" s="18"/>
      <c r="L107" s="18"/>
      <c r="M107" s="20"/>
      <c r="N107" s="37">
        <f t="shared" si="2"/>
        <v>0</v>
      </c>
      <c r="O107" s="21">
        <v>0.65500000000000003</v>
      </c>
      <c r="P107" s="22">
        <v>1.6000000000000001E-3</v>
      </c>
    </row>
    <row r="108" spans="1:16" s="1" customFormat="1" ht="119.1" customHeight="1" outlineLevel="4" x14ac:dyDescent="0.2">
      <c r="A108" s="11">
        <v>195300</v>
      </c>
      <c r="B108" s="12" t="s">
        <v>216</v>
      </c>
      <c r="C108" s="12" t="s">
        <v>22</v>
      </c>
      <c r="D108" s="13"/>
      <c r="E108" s="14" t="s">
        <v>217</v>
      </c>
      <c r="F108" s="15" t="s">
        <v>24</v>
      </c>
      <c r="G108" s="16"/>
      <c r="H108" s="36">
        <v>890.9</v>
      </c>
      <c r="I108" s="36">
        <f>ROUND(H108-(H108*I2/100),2)</f>
        <v>890.9</v>
      </c>
      <c r="J108" s="17">
        <v>39</v>
      </c>
      <c r="K108" s="18"/>
      <c r="L108" s="18"/>
      <c r="M108" s="20"/>
      <c r="N108" s="37">
        <f t="shared" si="2"/>
        <v>0</v>
      </c>
      <c r="O108" s="21">
        <v>0.61799999999999999</v>
      </c>
      <c r="P108" s="22">
        <v>5.7600000000000001E-4</v>
      </c>
    </row>
    <row r="109" spans="1:16" s="1" customFormat="1" ht="119.1" customHeight="1" outlineLevel="4" x14ac:dyDescent="0.2">
      <c r="A109" s="11">
        <v>207358</v>
      </c>
      <c r="B109" s="12" t="s">
        <v>218</v>
      </c>
      <c r="C109" s="12" t="s">
        <v>50</v>
      </c>
      <c r="D109" s="13"/>
      <c r="E109" s="14" t="s">
        <v>219</v>
      </c>
      <c r="F109" s="15" t="s">
        <v>24</v>
      </c>
      <c r="G109" s="16"/>
      <c r="H109" s="36">
        <v>355</v>
      </c>
      <c r="I109" s="36">
        <f>ROUND(H109-(H109*I2/100),2)</f>
        <v>355</v>
      </c>
      <c r="J109" s="17">
        <v>115</v>
      </c>
      <c r="K109" s="18"/>
      <c r="L109" s="18"/>
      <c r="M109" s="20"/>
      <c r="N109" s="37">
        <f t="shared" si="2"/>
        <v>0</v>
      </c>
      <c r="O109" s="21">
        <v>0.5</v>
      </c>
      <c r="P109" s="22">
        <v>1.2999999999999999E-4</v>
      </c>
    </row>
    <row r="110" spans="1:16" s="1" customFormat="1" ht="119.1" customHeight="1" outlineLevel="4" x14ac:dyDescent="0.2">
      <c r="A110" s="11">
        <v>218411</v>
      </c>
      <c r="B110" s="12" t="s">
        <v>220</v>
      </c>
      <c r="C110" s="12" t="s">
        <v>22</v>
      </c>
      <c r="D110" s="13"/>
      <c r="E110" s="14" t="s">
        <v>221</v>
      </c>
      <c r="F110" s="15" t="s">
        <v>24</v>
      </c>
      <c r="G110" s="16"/>
      <c r="H110" s="36">
        <v>852.1</v>
      </c>
      <c r="I110" s="36">
        <f>ROUND(H110-(H110*I2/100),2)</f>
        <v>852.1</v>
      </c>
      <c r="J110" s="17">
        <v>28</v>
      </c>
      <c r="K110" s="18"/>
      <c r="L110" s="18"/>
      <c r="M110" s="20"/>
      <c r="N110" s="37">
        <f t="shared" si="2"/>
        <v>0</v>
      </c>
      <c r="O110" s="21">
        <v>1.33</v>
      </c>
      <c r="P110" s="22">
        <v>1.8E-3</v>
      </c>
    </row>
    <row r="111" spans="1:16" s="1" customFormat="1" ht="119.1" customHeight="1" outlineLevel="4" x14ac:dyDescent="0.2">
      <c r="A111" s="11">
        <v>218412</v>
      </c>
      <c r="B111" s="12" t="s">
        <v>222</v>
      </c>
      <c r="C111" s="12" t="s">
        <v>22</v>
      </c>
      <c r="D111" s="13"/>
      <c r="E111" s="14" t="s">
        <v>223</v>
      </c>
      <c r="F111" s="15" t="s">
        <v>24</v>
      </c>
      <c r="G111" s="16"/>
      <c r="H111" s="36">
        <v>1475.5</v>
      </c>
      <c r="I111" s="36">
        <f>ROUND(H111-(H111*I2/100),2)</f>
        <v>1475.5</v>
      </c>
      <c r="J111" s="17">
        <v>32</v>
      </c>
      <c r="K111" s="18"/>
      <c r="L111" s="18"/>
      <c r="M111" s="20"/>
      <c r="N111" s="37">
        <f t="shared" si="2"/>
        <v>0</v>
      </c>
      <c r="O111" s="21">
        <v>1.33</v>
      </c>
      <c r="P111" s="22">
        <v>1.8E-3</v>
      </c>
    </row>
    <row r="112" spans="1:16" s="1" customFormat="1" ht="119.1" customHeight="1" outlineLevel="4" x14ac:dyDescent="0.2">
      <c r="A112" s="11">
        <v>207360</v>
      </c>
      <c r="B112" s="12" t="s">
        <v>224</v>
      </c>
      <c r="C112" s="12" t="s">
        <v>50</v>
      </c>
      <c r="D112" s="13"/>
      <c r="E112" s="14" t="s">
        <v>225</v>
      </c>
      <c r="F112" s="15" t="s">
        <v>24</v>
      </c>
      <c r="G112" s="16"/>
      <c r="H112" s="36">
        <v>1072.5999999999999</v>
      </c>
      <c r="I112" s="36">
        <f>ROUND(H112-(H112*I2/100),2)</f>
        <v>1072.5999999999999</v>
      </c>
      <c r="J112" s="17">
        <v>3</v>
      </c>
      <c r="K112" s="18"/>
      <c r="L112" s="18"/>
      <c r="M112" s="20"/>
      <c r="N112" s="37">
        <f t="shared" si="2"/>
        <v>0</v>
      </c>
      <c r="O112" s="21">
        <v>1.5</v>
      </c>
      <c r="P112" s="22">
        <v>4.8770000000000003E-3</v>
      </c>
    </row>
    <row r="113" spans="1:16" s="1" customFormat="1" ht="119.1" customHeight="1" outlineLevel="4" x14ac:dyDescent="0.2">
      <c r="A113" s="11">
        <v>217019</v>
      </c>
      <c r="B113" s="12" t="s">
        <v>226</v>
      </c>
      <c r="C113" s="12" t="s">
        <v>50</v>
      </c>
      <c r="D113" s="13"/>
      <c r="E113" s="14" t="s">
        <v>227</v>
      </c>
      <c r="F113" s="15" t="s">
        <v>24</v>
      </c>
      <c r="G113" s="16"/>
      <c r="H113" s="36">
        <v>201.6</v>
      </c>
      <c r="I113" s="36">
        <f>ROUND(H113-(H113*I2/100),2)</f>
        <v>201.6</v>
      </c>
      <c r="J113" s="17">
        <v>282</v>
      </c>
      <c r="K113" s="18"/>
      <c r="L113" s="18"/>
      <c r="M113" s="20"/>
      <c r="N113" s="37">
        <f t="shared" si="2"/>
        <v>0</v>
      </c>
      <c r="O113" s="21">
        <v>0.16800000000000001</v>
      </c>
      <c r="P113" s="22">
        <v>1.1999999999999999E-3</v>
      </c>
    </row>
    <row r="114" spans="1:16" s="1" customFormat="1" ht="119.1" customHeight="1" outlineLevel="4" x14ac:dyDescent="0.2">
      <c r="A114" s="11">
        <v>168131</v>
      </c>
      <c r="B114" s="12" t="s">
        <v>228</v>
      </c>
      <c r="C114" s="12" t="s">
        <v>22</v>
      </c>
      <c r="D114" s="13"/>
      <c r="E114" s="14" t="s">
        <v>229</v>
      </c>
      <c r="F114" s="15" t="s">
        <v>24</v>
      </c>
      <c r="G114" s="16"/>
      <c r="H114" s="36">
        <v>1085.8</v>
      </c>
      <c r="I114" s="36">
        <f>ROUND(H114-(H114*I2/100),2)</f>
        <v>1085.8</v>
      </c>
      <c r="J114" s="17">
        <v>75</v>
      </c>
      <c r="K114" s="18"/>
      <c r="L114" s="18"/>
      <c r="M114" s="20"/>
      <c r="N114" s="37">
        <f t="shared" si="2"/>
        <v>0</v>
      </c>
      <c r="O114" s="21">
        <v>0.28999999999999998</v>
      </c>
      <c r="P114" s="22">
        <v>6.2100000000000002E-4</v>
      </c>
    </row>
    <row r="115" spans="1:16" s="8" customFormat="1" ht="15.95" customHeight="1" outlineLevel="3" x14ac:dyDescent="0.25">
      <c r="A115" s="9"/>
      <c r="B115" s="10"/>
      <c r="C115" s="10"/>
      <c r="D115" s="10" t="s">
        <v>230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s="1" customFormat="1" ht="119.1" customHeight="1" outlineLevel="4" x14ac:dyDescent="0.2">
      <c r="A116" s="11">
        <v>168134</v>
      </c>
      <c r="B116" s="12" t="s">
        <v>231</v>
      </c>
      <c r="C116" s="12" t="s">
        <v>22</v>
      </c>
      <c r="D116" s="13"/>
      <c r="E116" s="14" t="s">
        <v>232</v>
      </c>
      <c r="F116" s="15" t="s">
        <v>24</v>
      </c>
      <c r="G116" s="16"/>
      <c r="H116" s="36">
        <v>9340.2999999999993</v>
      </c>
      <c r="I116" s="36">
        <f>ROUND(H116-(H116*I2/100),2)</f>
        <v>9340.2999999999993</v>
      </c>
      <c r="J116" s="17">
        <v>19</v>
      </c>
      <c r="K116" s="18"/>
      <c r="L116" s="18"/>
      <c r="M116" s="20"/>
      <c r="N116" s="37">
        <f t="shared" ref="N116:N148" si="3">I116*M116</f>
        <v>0</v>
      </c>
      <c r="O116" s="21">
        <v>1.6</v>
      </c>
      <c r="P116" s="22">
        <v>7.051E-3</v>
      </c>
    </row>
    <row r="117" spans="1:16" s="1" customFormat="1" ht="119.1" customHeight="1" outlineLevel="4" x14ac:dyDescent="0.2">
      <c r="A117" s="11">
        <v>208902</v>
      </c>
      <c r="B117" s="12" t="s">
        <v>233</v>
      </c>
      <c r="C117" s="12" t="s">
        <v>22</v>
      </c>
      <c r="D117" s="13"/>
      <c r="E117" s="14" t="s">
        <v>234</v>
      </c>
      <c r="F117" s="15" t="s">
        <v>24</v>
      </c>
      <c r="G117" s="16"/>
      <c r="H117" s="36">
        <v>15898.9</v>
      </c>
      <c r="I117" s="36">
        <f>ROUND(H117-(H117*I2/100),2)</f>
        <v>15898.9</v>
      </c>
      <c r="J117" s="17">
        <v>23</v>
      </c>
      <c r="K117" s="18"/>
      <c r="L117" s="18"/>
      <c r="M117" s="20"/>
      <c r="N117" s="37">
        <f t="shared" si="3"/>
        <v>0</v>
      </c>
      <c r="O117" s="21">
        <v>2.875</v>
      </c>
      <c r="P117" s="22">
        <v>1.8200000000000001E-2</v>
      </c>
    </row>
    <row r="118" spans="1:16" s="1" customFormat="1" ht="119.1" customHeight="1" outlineLevel="4" x14ac:dyDescent="0.2">
      <c r="A118" s="11">
        <v>208264</v>
      </c>
      <c r="B118" s="12" t="s">
        <v>235</v>
      </c>
      <c r="C118" s="12" t="s">
        <v>22</v>
      </c>
      <c r="D118" s="13"/>
      <c r="E118" s="14" t="s">
        <v>236</v>
      </c>
      <c r="F118" s="15" t="s">
        <v>24</v>
      </c>
      <c r="G118" s="16"/>
      <c r="H118" s="36">
        <v>5292.9</v>
      </c>
      <c r="I118" s="36">
        <f>ROUND(H118-(H118*I2/100),2)</f>
        <v>5292.9</v>
      </c>
      <c r="J118" s="17">
        <v>9</v>
      </c>
      <c r="K118" s="18"/>
      <c r="L118" s="18"/>
      <c r="M118" s="20"/>
      <c r="N118" s="37">
        <f t="shared" si="3"/>
        <v>0</v>
      </c>
      <c r="O118" s="21">
        <v>0.75</v>
      </c>
      <c r="P118" s="22">
        <v>2.0699999999999998E-3</v>
      </c>
    </row>
    <row r="119" spans="1:16" s="1" customFormat="1" ht="119.1" customHeight="1" outlineLevel="4" x14ac:dyDescent="0.2">
      <c r="A119" s="11">
        <v>201938</v>
      </c>
      <c r="B119" s="12" t="s">
        <v>237</v>
      </c>
      <c r="C119" s="12" t="s">
        <v>50</v>
      </c>
      <c r="D119" s="13"/>
      <c r="E119" s="14" t="s">
        <v>238</v>
      </c>
      <c r="F119" s="15" t="s">
        <v>24</v>
      </c>
      <c r="G119" s="16"/>
      <c r="H119" s="36">
        <v>743.9</v>
      </c>
      <c r="I119" s="36">
        <f>ROUND(H119-(H119*I2/100),2)</f>
        <v>743.9</v>
      </c>
      <c r="J119" s="17">
        <v>46</v>
      </c>
      <c r="K119" s="18"/>
      <c r="L119" s="18"/>
      <c r="M119" s="20"/>
      <c r="N119" s="37">
        <f t="shared" si="3"/>
        <v>0</v>
      </c>
      <c r="O119" s="21">
        <v>0.47199999999999998</v>
      </c>
      <c r="P119" s="22">
        <v>8.8780000000000005E-3</v>
      </c>
    </row>
    <row r="120" spans="1:16" s="1" customFormat="1" ht="119.1" customHeight="1" outlineLevel="4" x14ac:dyDescent="0.2">
      <c r="A120" s="11">
        <v>200292</v>
      </c>
      <c r="B120" s="12" t="s">
        <v>239</v>
      </c>
      <c r="C120" s="12" t="s">
        <v>50</v>
      </c>
      <c r="D120" s="13"/>
      <c r="E120" s="14" t="s">
        <v>240</v>
      </c>
      <c r="F120" s="15" t="s">
        <v>24</v>
      </c>
      <c r="G120" s="16"/>
      <c r="H120" s="36">
        <v>184.7</v>
      </c>
      <c r="I120" s="36">
        <f>ROUND(H120-(H120*I2/100),2)</f>
        <v>184.7</v>
      </c>
      <c r="J120" s="17">
        <v>359</v>
      </c>
      <c r="K120" s="18"/>
      <c r="L120" s="18"/>
      <c r="M120" s="20"/>
      <c r="N120" s="37">
        <f t="shared" si="3"/>
        <v>0</v>
      </c>
      <c r="O120" s="21">
        <v>0.11</v>
      </c>
      <c r="P120" s="22">
        <v>2.0000000000000001E-4</v>
      </c>
    </row>
    <row r="121" spans="1:16" s="1" customFormat="1" ht="119.1" customHeight="1" outlineLevel="4" x14ac:dyDescent="0.2">
      <c r="A121" s="11">
        <v>200293</v>
      </c>
      <c r="B121" s="12" t="s">
        <v>241</v>
      </c>
      <c r="C121" s="12" t="s">
        <v>50</v>
      </c>
      <c r="D121" s="13"/>
      <c r="E121" s="14" t="s">
        <v>242</v>
      </c>
      <c r="F121" s="15" t="s">
        <v>24</v>
      </c>
      <c r="G121" s="16"/>
      <c r="H121" s="36">
        <v>235</v>
      </c>
      <c r="I121" s="36">
        <f>ROUND(H121-(H121*I2/100),2)</f>
        <v>235</v>
      </c>
      <c r="J121" s="17">
        <v>802</v>
      </c>
      <c r="K121" s="18"/>
      <c r="L121" s="18"/>
      <c r="M121" s="20"/>
      <c r="N121" s="37">
        <f t="shared" si="3"/>
        <v>0</v>
      </c>
      <c r="O121" s="21">
        <v>0.13</v>
      </c>
      <c r="P121" s="22">
        <v>2.0000000000000001E-4</v>
      </c>
    </row>
    <row r="122" spans="1:16" s="1" customFormat="1" ht="119.1" customHeight="1" outlineLevel="4" x14ac:dyDescent="0.2">
      <c r="A122" s="11">
        <v>200294</v>
      </c>
      <c r="B122" s="12" t="s">
        <v>243</v>
      </c>
      <c r="C122" s="12" t="s">
        <v>50</v>
      </c>
      <c r="D122" s="13"/>
      <c r="E122" s="14" t="s">
        <v>244</v>
      </c>
      <c r="F122" s="15" t="s">
        <v>24</v>
      </c>
      <c r="G122" s="16"/>
      <c r="H122" s="36">
        <v>280.5</v>
      </c>
      <c r="I122" s="36">
        <f>ROUND(H122-(H122*I2/100),2)</f>
        <v>280.5</v>
      </c>
      <c r="J122" s="17">
        <v>582</v>
      </c>
      <c r="K122" s="18"/>
      <c r="L122" s="18"/>
      <c r="M122" s="20"/>
      <c r="N122" s="37">
        <f t="shared" si="3"/>
        <v>0</v>
      </c>
      <c r="O122" s="21">
        <v>0.13</v>
      </c>
      <c r="P122" s="22">
        <v>2.0000000000000001E-4</v>
      </c>
    </row>
    <row r="123" spans="1:16" s="1" customFormat="1" ht="119.1" customHeight="1" outlineLevel="4" x14ac:dyDescent="0.2">
      <c r="A123" s="11">
        <v>186240</v>
      </c>
      <c r="B123" s="12" t="s">
        <v>245</v>
      </c>
      <c r="C123" s="12" t="s">
        <v>22</v>
      </c>
      <c r="D123" s="13"/>
      <c r="E123" s="14" t="s">
        <v>246</v>
      </c>
      <c r="F123" s="15" t="s">
        <v>24</v>
      </c>
      <c r="G123" s="16"/>
      <c r="H123" s="36">
        <v>596.79999999999995</v>
      </c>
      <c r="I123" s="36">
        <f>ROUND(H123-(H123*I2/100),2)</f>
        <v>596.79999999999995</v>
      </c>
      <c r="J123" s="17">
        <v>354</v>
      </c>
      <c r="K123" s="18"/>
      <c r="L123" s="18"/>
      <c r="M123" s="20"/>
      <c r="N123" s="37">
        <f t="shared" si="3"/>
        <v>0</v>
      </c>
      <c r="O123" s="21">
        <v>0.20399999999999999</v>
      </c>
      <c r="P123" s="22">
        <v>1.1249999999999999E-3</v>
      </c>
    </row>
    <row r="124" spans="1:16" s="1" customFormat="1" ht="119.1" customHeight="1" outlineLevel="4" x14ac:dyDescent="0.2">
      <c r="A124" s="11">
        <v>212251</v>
      </c>
      <c r="B124" s="12" t="s">
        <v>247</v>
      </c>
      <c r="C124" s="12" t="s">
        <v>50</v>
      </c>
      <c r="D124" s="13"/>
      <c r="E124" s="14" t="s">
        <v>248</v>
      </c>
      <c r="F124" s="15" t="s">
        <v>24</v>
      </c>
      <c r="G124" s="16"/>
      <c r="H124" s="36">
        <v>297.60000000000002</v>
      </c>
      <c r="I124" s="36">
        <f>ROUND(H124-(H124*I2/100),2)</f>
        <v>297.60000000000002</v>
      </c>
      <c r="J124" s="17">
        <v>535</v>
      </c>
      <c r="K124" s="18"/>
      <c r="L124" s="18"/>
      <c r="M124" s="20"/>
      <c r="N124" s="37">
        <f t="shared" si="3"/>
        <v>0</v>
      </c>
      <c r="O124" s="21">
        <v>0.3</v>
      </c>
      <c r="P124" s="22">
        <v>2E-3</v>
      </c>
    </row>
    <row r="125" spans="1:16" s="1" customFormat="1" ht="119.1" customHeight="1" outlineLevel="4" x14ac:dyDescent="0.2">
      <c r="A125" s="11">
        <v>205902</v>
      </c>
      <c r="B125" s="12" t="s">
        <v>249</v>
      </c>
      <c r="C125" s="12" t="s">
        <v>50</v>
      </c>
      <c r="D125" s="13"/>
      <c r="E125" s="14" t="s">
        <v>250</v>
      </c>
      <c r="F125" s="15" t="s">
        <v>24</v>
      </c>
      <c r="G125" s="16"/>
      <c r="H125" s="36">
        <v>285.2</v>
      </c>
      <c r="I125" s="36">
        <f>ROUND(H125-(H125*I2/100),2)</f>
        <v>285.2</v>
      </c>
      <c r="J125" s="17">
        <v>5</v>
      </c>
      <c r="K125" s="18"/>
      <c r="L125" s="18"/>
      <c r="M125" s="20"/>
      <c r="N125" s="37">
        <f t="shared" si="3"/>
        <v>0</v>
      </c>
      <c r="O125" s="21">
        <v>3.0000000000000001E-3</v>
      </c>
      <c r="P125" s="22">
        <v>2.8440000000000002E-3</v>
      </c>
    </row>
    <row r="126" spans="1:16" s="1" customFormat="1" ht="119.1" customHeight="1" outlineLevel="4" x14ac:dyDescent="0.2">
      <c r="A126" s="11">
        <v>217036</v>
      </c>
      <c r="B126" s="12" t="s">
        <v>251</v>
      </c>
      <c r="C126" s="12" t="s">
        <v>50</v>
      </c>
      <c r="D126" s="13"/>
      <c r="E126" s="14" t="s">
        <v>252</v>
      </c>
      <c r="F126" s="15" t="s">
        <v>24</v>
      </c>
      <c r="G126" s="16"/>
      <c r="H126" s="36">
        <v>323</v>
      </c>
      <c r="I126" s="36">
        <f>ROUND(H126-(H126*I2/100),2)</f>
        <v>323</v>
      </c>
      <c r="J126" s="17">
        <v>388</v>
      </c>
      <c r="K126" s="18"/>
      <c r="L126" s="18"/>
      <c r="M126" s="20"/>
      <c r="N126" s="37">
        <f t="shared" si="3"/>
        <v>0</v>
      </c>
      <c r="O126" s="21">
        <v>0.16700000000000001</v>
      </c>
      <c r="P126" s="22">
        <v>1.1249999999999999E-3</v>
      </c>
    </row>
    <row r="127" spans="1:16" s="1" customFormat="1" ht="119.1" customHeight="1" outlineLevel="4" x14ac:dyDescent="0.2">
      <c r="A127" s="11">
        <v>200295</v>
      </c>
      <c r="B127" s="12" t="s">
        <v>253</v>
      </c>
      <c r="C127" s="12" t="s">
        <v>50</v>
      </c>
      <c r="D127" s="13"/>
      <c r="E127" s="14" t="s">
        <v>254</v>
      </c>
      <c r="F127" s="15" t="s">
        <v>24</v>
      </c>
      <c r="G127" s="16"/>
      <c r="H127" s="36">
        <v>490.9</v>
      </c>
      <c r="I127" s="36">
        <f>ROUND(H127-(H127*I2/100),2)</f>
        <v>490.9</v>
      </c>
      <c r="J127" s="17">
        <v>32</v>
      </c>
      <c r="K127" s="18"/>
      <c r="L127" s="18"/>
      <c r="M127" s="20"/>
      <c r="N127" s="37">
        <f t="shared" si="3"/>
        <v>0</v>
      </c>
      <c r="O127" s="21">
        <v>0.26</v>
      </c>
      <c r="P127" s="22">
        <v>2.0000000000000001E-4</v>
      </c>
    </row>
    <row r="128" spans="1:16" s="1" customFormat="1" ht="119.1" customHeight="1" outlineLevel="4" x14ac:dyDescent="0.2">
      <c r="A128" s="11">
        <v>205903</v>
      </c>
      <c r="B128" s="12" t="s">
        <v>255</v>
      </c>
      <c r="C128" s="12" t="s">
        <v>50</v>
      </c>
      <c r="D128" s="13"/>
      <c r="E128" s="14" t="s">
        <v>256</v>
      </c>
      <c r="F128" s="15" t="s">
        <v>24</v>
      </c>
      <c r="G128" s="16"/>
      <c r="H128" s="36">
        <v>464</v>
      </c>
      <c r="I128" s="36">
        <f>ROUND(H128-(H128*I2/100),2)</f>
        <v>464</v>
      </c>
      <c r="J128" s="17">
        <v>3</v>
      </c>
      <c r="K128" s="18"/>
      <c r="L128" s="18"/>
      <c r="M128" s="20"/>
      <c r="N128" s="37">
        <f t="shared" si="3"/>
        <v>0</v>
      </c>
      <c r="O128" s="21">
        <v>1E-3</v>
      </c>
      <c r="P128" s="22">
        <v>8.12E-4</v>
      </c>
    </row>
    <row r="129" spans="1:16" s="1" customFormat="1" ht="119.1" customHeight="1" outlineLevel="4" x14ac:dyDescent="0.2">
      <c r="A129" s="11">
        <v>187938</v>
      </c>
      <c r="B129" s="12" t="s">
        <v>257</v>
      </c>
      <c r="C129" s="12" t="s">
        <v>22</v>
      </c>
      <c r="D129" s="13"/>
      <c r="E129" s="14" t="s">
        <v>258</v>
      </c>
      <c r="F129" s="15" t="s">
        <v>24</v>
      </c>
      <c r="G129" s="16"/>
      <c r="H129" s="36">
        <v>436.6</v>
      </c>
      <c r="I129" s="36">
        <f>ROUND(H129-(H129*I2/100),2)</f>
        <v>436.6</v>
      </c>
      <c r="J129" s="17">
        <v>2</v>
      </c>
      <c r="K129" s="18"/>
      <c r="L129" s="18"/>
      <c r="M129" s="20"/>
      <c r="N129" s="37">
        <f t="shared" si="3"/>
        <v>0</v>
      </c>
      <c r="O129" s="21">
        <v>0.11700000000000001</v>
      </c>
      <c r="P129" s="22">
        <v>8.03E-4</v>
      </c>
    </row>
    <row r="130" spans="1:16" s="1" customFormat="1" ht="119.1" customHeight="1" outlineLevel="4" x14ac:dyDescent="0.2">
      <c r="A130" s="11">
        <v>186239</v>
      </c>
      <c r="B130" s="12" t="s">
        <v>259</v>
      </c>
      <c r="C130" s="12" t="s">
        <v>22</v>
      </c>
      <c r="D130" s="13"/>
      <c r="E130" s="14" t="s">
        <v>260</v>
      </c>
      <c r="F130" s="15" t="s">
        <v>24</v>
      </c>
      <c r="G130" s="16"/>
      <c r="H130" s="36">
        <v>544.70000000000005</v>
      </c>
      <c r="I130" s="36">
        <f>ROUND(H130-(H130*I2/100),2)</f>
        <v>544.70000000000005</v>
      </c>
      <c r="J130" s="17">
        <v>125</v>
      </c>
      <c r="K130" s="18"/>
      <c r="L130" s="18"/>
      <c r="M130" s="20"/>
      <c r="N130" s="37">
        <f t="shared" si="3"/>
        <v>0</v>
      </c>
      <c r="O130" s="21">
        <v>0.11700000000000001</v>
      </c>
      <c r="P130" s="22">
        <v>5.9400000000000002E-4</v>
      </c>
    </row>
    <row r="131" spans="1:16" s="1" customFormat="1" ht="119.1" customHeight="1" outlineLevel="4" x14ac:dyDescent="0.2">
      <c r="A131" s="11">
        <v>217007</v>
      </c>
      <c r="B131" s="12" t="s">
        <v>261</v>
      </c>
      <c r="C131" s="12" t="s">
        <v>50</v>
      </c>
      <c r="D131" s="13"/>
      <c r="E131" s="14" t="s">
        <v>262</v>
      </c>
      <c r="F131" s="15" t="s">
        <v>24</v>
      </c>
      <c r="G131" s="16"/>
      <c r="H131" s="36">
        <v>66.599999999999994</v>
      </c>
      <c r="I131" s="36">
        <f>ROUND(H131-(H131*I2/100),2)</f>
        <v>66.599999999999994</v>
      </c>
      <c r="J131" s="17">
        <v>470</v>
      </c>
      <c r="K131" s="18"/>
      <c r="L131" s="18"/>
      <c r="M131" s="20"/>
      <c r="N131" s="37">
        <f t="shared" si="3"/>
        <v>0</v>
      </c>
      <c r="O131" s="21">
        <v>8.4000000000000005E-2</v>
      </c>
      <c r="P131" s="22">
        <v>1.37E-4</v>
      </c>
    </row>
    <row r="132" spans="1:16" s="1" customFormat="1" ht="119.1" customHeight="1" outlineLevel="4" x14ac:dyDescent="0.2">
      <c r="A132" s="11">
        <v>217008</v>
      </c>
      <c r="B132" s="12" t="s">
        <v>263</v>
      </c>
      <c r="C132" s="12" t="s">
        <v>50</v>
      </c>
      <c r="D132" s="13"/>
      <c r="E132" s="14" t="s">
        <v>264</v>
      </c>
      <c r="F132" s="15" t="s">
        <v>24</v>
      </c>
      <c r="G132" s="16"/>
      <c r="H132" s="36">
        <v>144.4</v>
      </c>
      <c r="I132" s="36">
        <f>ROUND(H132-(H132*I2/100),2)</f>
        <v>144.4</v>
      </c>
      <c r="J132" s="17">
        <v>174</v>
      </c>
      <c r="K132" s="18"/>
      <c r="L132" s="18"/>
      <c r="M132" s="20"/>
      <c r="N132" s="37">
        <f t="shared" si="3"/>
        <v>0</v>
      </c>
      <c r="O132" s="21">
        <v>0.11700000000000001</v>
      </c>
      <c r="P132" s="22">
        <v>2.9999999999999997E-4</v>
      </c>
    </row>
    <row r="133" spans="1:16" s="1" customFormat="1" ht="119.1" customHeight="1" outlineLevel="4" x14ac:dyDescent="0.2">
      <c r="A133" s="11">
        <v>190627</v>
      </c>
      <c r="B133" s="12" t="s">
        <v>265</v>
      </c>
      <c r="C133" s="12" t="s">
        <v>22</v>
      </c>
      <c r="D133" s="13"/>
      <c r="E133" s="14" t="s">
        <v>266</v>
      </c>
      <c r="F133" s="15" t="s">
        <v>24</v>
      </c>
      <c r="G133" s="16"/>
      <c r="H133" s="36">
        <v>699.3</v>
      </c>
      <c r="I133" s="36">
        <f>ROUND(H133-(H133*I2/100),2)</f>
        <v>699.3</v>
      </c>
      <c r="J133" s="17">
        <v>66</v>
      </c>
      <c r="K133" s="18"/>
      <c r="L133" s="18"/>
      <c r="M133" s="20"/>
      <c r="N133" s="37">
        <f t="shared" si="3"/>
        <v>0</v>
      </c>
      <c r="O133" s="21">
        <v>0.2</v>
      </c>
      <c r="P133" s="22">
        <v>5.7600000000000001E-4</v>
      </c>
    </row>
    <row r="134" spans="1:16" s="1" customFormat="1" ht="119.1" customHeight="1" outlineLevel="4" x14ac:dyDescent="0.2">
      <c r="A134" s="11">
        <v>219983</v>
      </c>
      <c r="B134" s="12" t="s">
        <v>267</v>
      </c>
      <c r="C134" s="12" t="s">
        <v>50</v>
      </c>
      <c r="D134" s="28"/>
      <c r="E134" s="29" t="s">
        <v>268</v>
      </c>
      <c r="F134" s="30" t="s">
        <v>24</v>
      </c>
      <c r="G134" s="31" t="s">
        <v>209</v>
      </c>
      <c r="H134" s="36">
        <v>181.1</v>
      </c>
      <c r="I134" s="36">
        <f>ROUND(H134-(H134*I2/100),2)</f>
        <v>181.1</v>
      </c>
      <c r="J134" s="17">
        <v>152</v>
      </c>
      <c r="K134" s="18"/>
      <c r="L134" s="18"/>
      <c r="M134" s="20"/>
      <c r="N134" s="37">
        <f t="shared" si="3"/>
        <v>0</v>
      </c>
      <c r="O134" s="21">
        <v>0.151</v>
      </c>
      <c r="P134" s="22">
        <v>4.0000000000000002E-4</v>
      </c>
    </row>
    <row r="135" spans="1:16" s="1" customFormat="1" ht="119.1" customHeight="1" outlineLevel="4" x14ac:dyDescent="0.2">
      <c r="A135" s="11">
        <v>178179</v>
      </c>
      <c r="B135" s="12" t="s">
        <v>269</v>
      </c>
      <c r="C135" s="12" t="s">
        <v>22</v>
      </c>
      <c r="D135" s="13"/>
      <c r="E135" s="14" t="s">
        <v>270</v>
      </c>
      <c r="F135" s="15" t="s">
        <v>24</v>
      </c>
      <c r="G135" s="16"/>
      <c r="H135" s="36">
        <v>764.8</v>
      </c>
      <c r="I135" s="36">
        <f>ROUND(H135-(H135*I2/100),2)</f>
        <v>764.8</v>
      </c>
      <c r="J135" s="17">
        <v>37</v>
      </c>
      <c r="K135" s="18"/>
      <c r="L135" s="18"/>
      <c r="M135" s="20"/>
      <c r="N135" s="37">
        <f t="shared" si="3"/>
        <v>0</v>
      </c>
      <c r="O135" s="21">
        <v>0.3</v>
      </c>
      <c r="P135" s="22">
        <v>7.6800000000000002E-4</v>
      </c>
    </row>
    <row r="136" spans="1:16" s="1" customFormat="1" ht="119.1" customHeight="1" outlineLevel="4" x14ac:dyDescent="0.2">
      <c r="A136" s="11">
        <v>219984</v>
      </c>
      <c r="B136" s="12" t="s">
        <v>271</v>
      </c>
      <c r="C136" s="12" t="s">
        <v>50</v>
      </c>
      <c r="D136" s="28"/>
      <c r="E136" s="29" t="s">
        <v>272</v>
      </c>
      <c r="F136" s="30" t="s">
        <v>24</v>
      </c>
      <c r="G136" s="31" t="s">
        <v>209</v>
      </c>
      <c r="H136" s="36">
        <v>248.5</v>
      </c>
      <c r="I136" s="36">
        <f>ROUND(H136-(H136*I2/100),2)</f>
        <v>248.5</v>
      </c>
      <c r="J136" s="17">
        <v>143</v>
      </c>
      <c r="K136" s="18"/>
      <c r="L136" s="18"/>
      <c r="M136" s="20"/>
      <c r="N136" s="37">
        <f t="shared" si="3"/>
        <v>0</v>
      </c>
      <c r="O136" s="21">
        <v>0.185</v>
      </c>
      <c r="P136" s="22">
        <v>5.9999999999999995E-4</v>
      </c>
    </row>
    <row r="137" spans="1:16" s="1" customFormat="1" ht="119.1" customHeight="1" outlineLevel="4" x14ac:dyDescent="0.2">
      <c r="A137" s="11">
        <v>219985</v>
      </c>
      <c r="B137" s="12" t="s">
        <v>273</v>
      </c>
      <c r="C137" s="12" t="s">
        <v>50</v>
      </c>
      <c r="D137" s="28"/>
      <c r="E137" s="29" t="s">
        <v>274</v>
      </c>
      <c r="F137" s="30" t="s">
        <v>24</v>
      </c>
      <c r="G137" s="31" t="s">
        <v>209</v>
      </c>
      <c r="H137" s="36">
        <v>321</v>
      </c>
      <c r="I137" s="36">
        <f>ROUND(H137-(H137*I2/100),2)</f>
        <v>321</v>
      </c>
      <c r="J137" s="17">
        <v>79</v>
      </c>
      <c r="K137" s="18"/>
      <c r="L137" s="18"/>
      <c r="M137" s="20"/>
      <c r="N137" s="37">
        <f t="shared" si="3"/>
        <v>0</v>
      </c>
      <c r="O137" s="21">
        <v>0.25</v>
      </c>
      <c r="P137" s="22">
        <v>5.7600000000000001E-4</v>
      </c>
    </row>
    <row r="138" spans="1:16" s="1" customFormat="1" ht="119.1" customHeight="1" outlineLevel="4" x14ac:dyDescent="0.2">
      <c r="A138" s="11">
        <v>151406</v>
      </c>
      <c r="B138" s="12" t="s">
        <v>275</v>
      </c>
      <c r="C138" s="12" t="s">
        <v>22</v>
      </c>
      <c r="D138" s="13"/>
      <c r="E138" s="14" t="s">
        <v>276</v>
      </c>
      <c r="F138" s="15" t="s">
        <v>24</v>
      </c>
      <c r="G138" s="16"/>
      <c r="H138" s="36">
        <v>1253.8</v>
      </c>
      <c r="I138" s="36">
        <f>ROUND(H138-(H138*I2/100),2)</f>
        <v>1253.8</v>
      </c>
      <c r="J138" s="17">
        <v>18</v>
      </c>
      <c r="K138" s="18"/>
      <c r="L138" s="18"/>
      <c r="M138" s="20"/>
      <c r="N138" s="37">
        <f t="shared" si="3"/>
        <v>0</v>
      </c>
      <c r="O138" s="21">
        <v>0.56499999999999995</v>
      </c>
      <c r="P138" s="22">
        <v>1.2960000000000001E-3</v>
      </c>
    </row>
    <row r="139" spans="1:16" s="1" customFormat="1" ht="119.1" customHeight="1" outlineLevel="4" x14ac:dyDescent="0.2">
      <c r="A139" s="11">
        <v>217004</v>
      </c>
      <c r="B139" s="12" t="s">
        <v>277</v>
      </c>
      <c r="C139" s="12" t="s">
        <v>50</v>
      </c>
      <c r="D139" s="13"/>
      <c r="E139" s="14" t="s">
        <v>278</v>
      </c>
      <c r="F139" s="15" t="s">
        <v>24</v>
      </c>
      <c r="G139" s="16"/>
      <c r="H139" s="36">
        <v>389.4</v>
      </c>
      <c r="I139" s="36">
        <f>ROUND(H139-(H139*I2/100),2)</f>
        <v>389.4</v>
      </c>
      <c r="J139" s="17">
        <v>95</v>
      </c>
      <c r="K139" s="18"/>
      <c r="L139" s="18"/>
      <c r="M139" s="20"/>
      <c r="N139" s="37">
        <f t="shared" si="3"/>
        <v>0</v>
      </c>
      <c r="O139" s="21">
        <v>0.33</v>
      </c>
      <c r="P139" s="22">
        <v>1E-3</v>
      </c>
    </row>
    <row r="140" spans="1:16" s="1" customFormat="1" ht="119.1" customHeight="1" outlineLevel="4" x14ac:dyDescent="0.2">
      <c r="A140" s="11">
        <v>195751</v>
      </c>
      <c r="B140" s="12" t="s">
        <v>279</v>
      </c>
      <c r="C140" s="12" t="s">
        <v>22</v>
      </c>
      <c r="D140" s="13"/>
      <c r="E140" s="14" t="s">
        <v>280</v>
      </c>
      <c r="F140" s="15" t="s">
        <v>24</v>
      </c>
      <c r="G140" s="16"/>
      <c r="H140" s="36">
        <v>972.3</v>
      </c>
      <c r="I140" s="36">
        <f>ROUND(H140-(H140*I2/100),2)</f>
        <v>972.3</v>
      </c>
      <c r="J140" s="17">
        <v>110</v>
      </c>
      <c r="K140" s="18"/>
      <c r="L140" s="18"/>
      <c r="M140" s="20"/>
      <c r="N140" s="37">
        <f t="shared" si="3"/>
        <v>0</v>
      </c>
      <c r="O140" s="21">
        <v>0.74</v>
      </c>
      <c r="P140" s="22">
        <v>1.92E-3</v>
      </c>
    </row>
    <row r="141" spans="1:16" s="1" customFormat="1" ht="119.1" customHeight="1" outlineLevel="4" x14ac:dyDescent="0.2">
      <c r="A141" s="11">
        <v>183273</v>
      </c>
      <c r="B141" s="12" t="s">
        <v>281</v>
      </c>
      <c r="C141" s="12" t="s">
        <v>22</v>
      </c>
      <c r="D141" s="13"/>
      <c r="E141" s="14" t="s">
        <v>282</v>
      </c>
      <c r="F141" s="15" t="s">
        <v>24</v>
      </c>
      <c r="G141" s="16"/>
      <c r="H141" s="36">
        <v>1406.5</v>
      </c>
      <c r="I141" s="36">
        <f>ROUND(H141-(H141*I2/100),2)</f>
        <v>1406.5</v>
      </c>
      <c r="J141" s="17">
        <v>46</v>
      </c>
      <c r="K141" s="18"/>
      <c r="L141" s="18"/>
      <c r="M141" s="20"/>
      <c r="N141" s="37">
        <f t="shared" si="3"/>
        <v>0</v>
      </c>
      <c r="O141" s="21">
        <v>0.73</v>
      </c>
      <c r="P141" s="22">
        <v>1.6199999999999999E-3</v>
      </c>
    </row>
    <row r="142" spans="1:16" s="1" customFormat="1" ht="119.1" customHeight="1" outlineLevel="4" x14ac:dyDescent="0.2">
      <c r="A142" s="11">
        <v>217005</v>
      </c>
      <c r="B142" s="12" t="s">
        <v>283</v>
      </c>
      <c r="C142" s="12" t="s">
        <v>50</v>
      </c>
      <c r="D142" s="13"/>
      <c r="E142" s="14" t="s">
        <v>284</v>
      </c>
      <c r="F142" s="15" t="s">
        <v>24</v>
      </c>
      <c r="G142" s="16"/>
      <c r="H142" s="36">
        <v>469</v>
      </c>
      <c r="I142" s="36">
        <f>ROUND(H142-(H142*I2/100),2)</f>
        <v>469</v>
      </c>
      <c r="J142" s="17">
        <v>88</v>
      </c>
      <c r="K142" s="18"/>
      <c r="L142" s="18"/>
      <c r="M142" s="20"/>
      <c r="N142" s="37">
        <f t="shared" si="3"/>
        <v>0</v>
      </c>
      <c r="O142" s="21">
        <v>0.375</v>
      </c>
      <c r="P142" s="22">
        <v>1.176E-3</v>
      </c>
    </row>
    <row r="143" spans="1:16" s="1" customFormat="1" ht="119.1" customHeight="1" outlineLevel="4" x14ac:dyDescent="0.2">
      <c r="A143" s="11">
        <v>196183</v>
      </c>
      <c r="B143" s="12" t="s">
        <v>285</v>
      </c>
      <c r="C143" s="12" t="s">
        <v>22</v>
      </c>
      <c r="D143" s="13"/>
      <c r="E143" s="14" t="s">
        <v>286</v>
      </c>
      <c r="F143" s="15" t="s">
        <v>24</v>
      </c>
      <c r="G143" s="16"/>
      <c r="H143" s="36">
        <v>1132.7</v>
      </c>
      <c r="I143" s="36">
        <f>ROUND(H143-(H143*I2/100),2)</f>
        <v>1132.7</v>
      </c>
      <c r="J143" s="17">
        <v>125</v>
      </c>
      <c r="K143" s="18"/>
      <c r="L143" s="18"/>
      <c r="M143" s="20"/>
      <c r="N143" s="37">
        <f t="shared" si="3"/>
        <v>0</v>
      </c>
      <c r="O143" s="21">
        <v>0.88</v>
      </c>
      <c r="P143" s="22">
        <v>2.3040000000000001E-3</v>
      </c>
    </row>
    <row r="144" spans="1:16" s="1" customFormat="1" ht="119.1" customHeight="1" outlineLevel="4" x14ac:dyDescent="0.2">
      <c r="A144" s="11">
        <v>151407</v>
      </c>
      <c r="B144" s="12" t="s">
        <v>287</v>
      </c>
      <c r="C144" s="12" t="s">
        <v>22</v>
      </c>
      <c r="D144" s="28"/>
      <c r="E144" s="29" t="s">
        <v>288</v>
      </c>
      <c r="F144" s="30" t="s">
        <v>24</v>
      </c>
      <c r="G144" s="31" t="s">
        <v>209</v>
      </c>
      <c r="H144" s="36">
        <v>1853.3</v>
      </c>
      <c r="I144" s="36">
        <f>ROUND(H144-(H144*I2/100),2)</f>
        <v>1853.3</v>
      </c>
      <c r="J144" s="17">
        <v>69</v>
      </c>
      <c r="K144" s="18"/>
      <c r="L144" s="18"/>
      <c r="M144" s="20"/>
      <c r="N144" s="37">
        <f t="shared" si="3"/>
        <v>0</v>
      </c>
      <c r="O144" s="21">
        <v>0.85</v>
      </c>
      <c r="P144" s="22">
        <v>2.3040000000000001E-3</v>
      </c>
    </row>
    <row r="145" spans="1:16" s="1" customFormat="1" ht="119.1" customHeight="1" outlineLevel="4" x14ac:dyDescent="0.2">
      <c r="A145" s="11">
        <v>217006</v>
      </c>
      <c r="B145" s="12" t="s">
        <v>289</v>
      </c>
      <c r="C145" s="12" t="s">
        <v>50</v>
      </c>
      <c r="D145" s="13"/>
      <c r="E145" s="14" t="s">
        <v>290</v>
      </c>
      <c r="F145" s="15" t="s">
        <v>24</v>
      </c>
      <c r="G145" s="16"/>
      <c r="H145" s="36">
        <v>570.1</v>
      </c>
      <c r="I145" s="36">
        <f>ROUND(H145-(H145*I2/100),2)</f>
        <v>570.1</v>
      </c>
      <c r="J145" s="17">
        <v>69</v>
      </c>
      <c r="K145" s="18"/>
      <c r="L145" s="18"/>
      <c r="M145" s="20"/>
      <c r="N145" s="37">
        <f t="shared" si="3"/>
        <v>0</v>
      </c>
      <c r="O145" s="21">
        <v>0.47499999999999998</v>
      </c>
      <c r="P145" s="22">
        <v>1.47E-3</v>
      </c>
    </row>
    <row r="146" spans="1:16" s="1" customFormat="1" ht="119.1" customHeight="1" outlineLevel="4" x14ac:dyDescent="0.2">
      <c r="A146" s="11">
        <v>171856</v>
      </c>
      <c r="B146" s="12" t="s">
        <v>291</v>
      </c>
      <c r="C146" s="12" t="s">
        <v>22</v>
      </c>
      <c r="D146" s="23"/>
      <c r="E146" s="24" t="s">
        <v>292</v>
      </c>
      <c r="F146" s="25" t="s">
        <v>24</v>
      </c>
      <c r="G146" s="26" t="s">
        <v>39</v>
      </c>
      <c r="H146" s="36">
        <v>3583.6</v>
      </c>
      <c r="I146" s="36">
        <f>H146</f>
        <v>3583.6</v>
      </c>
      <c r="J146" s="17">
        <v>64</v>
      </c>
      <c r="K146" s="18"/>
      <c r="L146" s="18"/>
      <c r="M146" s="20"/>
      <c r="N146" s="37">
        <f t="shared" si="3"/>
        <v>0</v>
      </c>
      <c r="O146" s="21">
        <v>1.8</v>
      </c>
      <c r="P146" s="22">
        <v>3.0720000000000001E-3</v>
      </c>
    </row>
    <row r="147" spans="1:16" s="1" customFormat="1" ht="119.1" customHeight="1" outlineLevel="4" x14ac:dyDescent="0.2">
      <c r="A147" s="11">
        <v>186242</v>
      </c>
      <c r="B147" s="12" t="s">
        <v>293</v>
      </c>
      <c r="C147" s="12" t="s">
        <v>22</v>
      </c>
      <c r="D147" s="13"/>
      <c r="E147" s="14" t="s">
        <v>294</v>
      </c>
      <c r="F147" s="15" t="s">
        <v>24</v>
      </c>
      <c r="G147" s="16"/>
      <c r="H147" s="36">
        <v>2049.1</v>
      </c>
      <c r="I147" s="36">
        <f>ROUND(H147-(H147*I2/100),2)</f>
        <v>2049.1</v>
      </c>
      <c r="J147" s="17">
        <v>12</v>
      </c>
      <c r="K147" s="18"/>
      <c r="L147" s="18"/>
      <c r="M147" s="20"/>
      <c r="N147" s="37">
        <f t="shared" si="3"/>
        <v>0</v>
      </c>
      <c r="O147" s="21">
        <v>0.99299999999999999</v>
      </c>
      <c r="P147" s="22">
        <v>2.8800000000000002E-3</v>
      </c>
    </row>
    <row r="148" spans="1:16" s="1" customFormat="1" ht="119.1" customHeight="1" outlineLevel="4" x14ac:dyDescent="0.2">
      <c r="A148" s="11">
        <v>168135</v>
      </c>
      <c r="B148" s="12" t="s">
        <v>295</v>
      </c>
      <c r="C148" s="12" t="s">
        <v>22</v>
      </c>
      <c r="D148" s="13"/>
      <c r="E148" s="14" t="s">
        <v>296</v>
      </c>
      <c r="F148" s="15" t="s">
        <v>24</v>
      </c>
      <c r="G148" s="16"/>
      <c r="H148" s="36">
        <v>2121.5</v>
      </c>
      <c r="I148" s="36">
        <f>ROUND(H148-(H148*I2/100),2)</f>
        <v>2121.5</v>
      </c>
      <c r="J148" s="17">
        <v>17</v>
      </c>
      <c r="K148" s="18"/>
      <c r="L148" s="18"/>
      <c r="M148" s="20"/>
      <c r="N148" s="37">
        <f t="shared" si="3"/>
        <v>0</v>
      </c>
      <c r="O148" s="21">
        <v>1.056</v>
      </c>
      <c r="P148" s="22">
        <v>2.7520000000000001E-3</v>
      </c>
    </row>
    <row r="149" spans="1:16" s="8" customFormat="1" ht="15.95" customHeight="1" outlineLevel="2" x14ac:dyDescent="0.25">
      <c r="A149" s="9"/>
      <c r="B149" s="10"/>
      <c r="C149" s="10"/>
      <c r="D149" s="10" t="s">
        <v>297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s="1" customFormat="1" ht="119.1" customHeight="1" outlineLevel="3" x14ac:dyDescent="0.2">
      <c r="A150" s="11">
        <v>197311</v>
      </c>
      <c r="B150" s="12" t="s">
        <v>298</v>
      </c>
      <c r="C150" s="12" t="s">
        <v>50</v>
      </c>
      <c r="D150" s="13"/>
      <c r="E150" s="14" t="s">
        <v>299</v>
      </c>
      <c r="F150" s="15" t="s">
        <v>24</v>
      </c>
      <c r="G150" s="16"/>
      <c r="H150" s="36">
        <v>2264.4</v>
      </c>
      <c r="I150" s="36">
        <f>ROUND(H150-(H150*I2/100),2)</f>
        <v>2264.4</v>
      </c>
      <c r="J150" s="17">
        <v>8</v>
      </c>
      <c r="K150" s="18"/>
      <c r="L150" s="18"/>
      <c r="M150" s="20"/>
      <c r="N150" s="37">
        <f t="shared" ref="N150:N181" si="4">I150*M150</f>
        <v>0</v>
      </c>
      <c r="O150" s="21">
        <v>0.14499999999999999</v>
      </c>
      <c r="P150" s="22">
        <v>5.7530000000000003E-3</v>
      </c>
    </row>
    <row r="151" spans="1:16" s="1" customFormat="1" ht="119.1" customHeight="1" outlineLevel="3" x14ac:dyDescent="0.2">
      <c r="A151" s="11">
        <v>200340</v>
      </c>
      <c r="B151" s="12" t="s">
        <v>300</v>
      </c>
      <c r="C151" s="12" t="s">
        <v>50</v>
      </c>
      <c r="D151" s="13"/>
      <c r="E151" s="14" t="s">
        <v>301</v>
      </c>
      <c r="F151" s="15" t="s">
        <v>24</v>
      </c>
      <c r="G151" s="16"/>
      <c r="H151" s="36">
        <v>505.9</v>
      </c>
      <c r="I151" s="36">
        <f>ROUND(H151-(H151*I2/100),2)</f>
        <v>505.9</v>
      </c>
      <c r="J151" s="17">
        <v>5</v>
      </c>
      <c r="K151" s="18"/>
      <c r="L151" s="18"/>
      <c r="M151" s="20"/>
      <c r="N151" s="37">
        <f t="shared" si="4"/>
        <v>0</v>
      </c>
      <c r="O151" s="21">
        <v>0.7</v>
      </c>
      <c r="P151" s="22">
        <v>5.0000000000000001E-3</v>
      </c>
    </row>
    <row r="152" spans="1:16" s="1" customFormat="1" ht="119.1" customHeight="1" outlineLevel="3" x14ac:dyDescent="0.2">
      <c r="A152" s="11">
        <v>207366</v>
      </c>
      <c r="B152" s="12" t="s">
        <v>302</v>
      </c>
      <c r="C152" s="12" t="s">
        <v>50</v>
      </c>
      <c r="D152" s="13"/>
      <c r="E152" s="14" t="s">
        <v>303</v>
      </c>
      <c r="F152" s="15" t="s">
        <v>24</v>
      </c>
      <c r="G152" s="16"/>
      <c r="H152" s="36">
        <v>57.2</v>
      </c>
      <c r="I152" s="36">
        <f>ROUND(H152-(H152*I2/100),2)</f>
        <v>57.2</v>
      </c>
      <c r="J152" s="17">
        <v>24</v>
      </c>
      <c r="K152" s="18"/>
      <c r="L152" s="18"/>
      <c r="M152" s="20"/>
      <c r="N152" s="37">
        <f t="shared" si="4"/>
        <v>0</v>
      </c>
      <c r="O152" s="21">
        <v>2.5999999999999999E-2</v>
      </c>
      <c r="P152" s="22">
        <v>4.5600000000000003E-4</v>
      </c>
    </row>
    <row r="153" spans="1:16" s="1" customFormat="1" ht="119.1" customHeight="1" outlineLevel="3" x14ac:dyDescent="0.2">
      <c r="A153" s="11">
        <v>216873</v>
      </c>
      <c r="B153" s="12" t="s">
        <v>304</v>
      </c>
      <c r="C153" s="12" t="s">
        <v>50</v>
      </c>
      <c r="D153" s="13"/>
      <c r="E153" s="14" t="s">
        <v>305</v>
      </c>
      <c r="F153" s="15" t="s">
        <v>24</v>
      </c>
      <c r="G153" s="16"/>
      <c r="H153" s="36">
        <v>359.8</v>
      </c>
      <c r="I153" s="36">
        <f>ROUND(H153-(H153*I2/100),2)</f>
        <v>359.8</v>
      </c>
      <c r="J153" s="17">
        <v>22</v>
      </c>
      <c r="K153" s="18"/>
      <c r="L153" s="18"/>
      <c r="M153" s="20"/>
      <c r="N153" s="37">
        <f t="shared" si="4"/>
        <v>0</v>
      </c>
      <c r="O153" s="21">
        <v>0.16700000000000001</v>
      </c>
      <c r="P153" s="22">
        <v>6.1335000000000001E-2</v>
      </c>
    </row>
    <row r="154" spans="1:16" s="1" customFormat="1" ht="119.1" customHeight="1" outlineLevel="3" x14ac:dyDescent="0.2">
      <c r="A154" s="11">
        <v>216874</v>
      </c>
      <c r="B154" s="12" t="s">
        <v>306</v>
      </c>
      <c r="C154" s="12" t="s">
        <v>50</v>
      </c>
      <c r="D154" s="13"/>
      <c r="E154" s="14" t="s">
        <v>307</v>
      </c>
      <c r="F154" s="15" t="s">
        <v>24</v>
      </c>
      <c r="G154" s="16"/>
      <c r="H154" s="36">
        <v>433.1</v>
      </c>
      <c r="I154" s="36">
        <f>ROUND(H154-(H154*I2/100),2)</f>
        <v>433.1</v>
      </c>
      <c r="J154" s="17">
        <v>9</v>
      </c>
      <c r="K154" s="18"/>
      <c r="L154" s="18"/>
      <c r="M154" s="20"/>
      <c r="N154" s="37">
        <f t="shared" si="4"/>
        <v>0</v>
      </c>
      <c r="O154" s="21">
        <v>0.17399999999999999</v>
      </c>
      <c r="P154" s="22">
        <v>4.3600000000000003E-4</v>
      </c>
    </row>
    <row r="155" spans="1:16" s="1" customFormat="1" ht="119.1" customHeight="1" outlineLevel="3" x14ac:dyDescent="0.2">
      <c r="A155" s="11">
        <v>216875</v>
      </c>
      <c r="B155" s="12" t="s">
        <v>308</v>
      </c>
      <c r="C155" s="12" t="s">
        <v>50</v>
      </c>
      <c r="D155" s="13"/>
      <c r="E155" s="14" t="s">
        <v>309</v>
      </c>
      <c r="F155" s="15" t="s">
        <v>24</v>
      </c>
      <c r="G155" s="16"/>
      <c r="H155" s="36">
        <v>808.3</v>
      </c>
      <c r="I155" s="36">
        <f>ROUND(H155-(H155*I2/100),2)</f>
        <v>808.3</v>
      </c>
      <c r="J155" s="17">
        <v>20</v>
      </c>
      <c r="K155" s="18"/>
      <c r="L155" s="18"/>
      <c r="M155" s="20"/>
      <c r="N155" s="37">
        <f t="shared" si="4"/>
        <v>0</v>
      </c>
      <c r="O155" s="21">
        <v>0.58799999999999997</v>
      </c>
      <c r="P155" s="22">
        <v>6.3699999999999998E-4</v>
      </c>
    </row>
    <row r="156" spans="1:16" s="1" customFormat="1" ht="119.1" customHeight="1" outlineLevel="3" x14ac:dyDescent="0.2">
      <c r="A156" s="11">
        <v>216876</v>
      </c>
      <c r="B156" s="12" t="s">
        <v>310</v>
      </c>
      <c r="C156" s="12" t="s">
        <v>50</v>
      </c>
      <c r="D156" s="13"/>
      <c r="E156" s="14" t="s">
        <v>311</v>
      </c>
      <c r="F156" s="15" t="s">
        <v>24</v>
      </c>
      <c r="G156" s="16"/>
      <c r="H156" s="36">
        <v>808.3</v>
      </c>
      <c r="I156" s="36">
        <f>ROUND(H156-(H156*I2/100),2)</f>
        <v>808.3</v>
      </c>
      <c r="J156" s="17">
        <v>13</v>
      </c>
      <c r="K156" s="18"/>
      <c r="L156" s="18"/>
      <c r="M156" s="20"/>
      <c r="N156" s="37">
        <f t="shared" si="4"/>
        <v>0</v>
      </c>
      <c r="O156" s="21">
        <v>0.58799999999999997</v>
      </c>
      <c r="P156" s="22">
        <v>7.9699999999999997E-4</v>
      </c>
    </row>
    <row r="157" spans="1:16" s="1" customFormat="1" ht="119.1" customHeight="1" outlineLevel="3" x14ac:dyDescent="0.2">
      <c r="A157" s="11">
        <v>216877</v>
      </c>
      <c r="B157" s="12" t="s">
        <v>312</v>
      </c>
      <c r="C157" s="12" t="s">
        <v>50</v>
      </c>
      <c r="D157" s="13"/>
      <c r="E157" s="14" t="s">
        <v>313</v>
      </c>
      <c r="F157" s="15" t="s">
        <v>24</v>
      </c>
      <c r="G157" s="16"/>
      <c r="H157" s="36">
        <v>850.8</v>
      </c>
      <c r="I157" s="36">
        <f>ROUND(H157-(H157*I2/100),2)</f>
        <v>850.8</v>
      </c>
      <c r="J157" s="17">
        <v>5</v>
      </c>
      <c r="K157" s="18"/>
      <c r="L157" s="18"/>
      <c r="M157" s="20"/>
      <c r="N157" s="37">
        <f t="shared" si="4"/>
        <v>0</v>
      </c>
      <c r="O157" s="21">
        <v>0.58799999999999997</v>
      </c>
      <c r="P157" s="22">
        <v>7.9699999999999997E-4</v>
      </c>
    </row>
    <row r="158" spans="1:16" s="1" customFormat="1" ht="119.1" customHeight="1" outlineLevel="3" x14ac:dyDescent="0.2">
      <c r="A158" s="11">
        <v>204170</v>
      </c>
      <c r="B158" s="12" t="s">
        <v>314</v>
      </c>
      <c r="C158" s="12" t="s">
        <v>50</v>
      </c>
      <c r="D158" s="13"/>
      <c r="E158" s="14" t="s">
        <v>315</v>
      </c>
      <c r="F158" s="15" t="s">
        <v>24</v>
      </c>
      <c r="G158" s="16"/>
      <c r="H158" s="36">
        <v>316.5</v>
      </c>
      <c r="I158" s="36">
        <f>ROUND(H158-(H158*I2/100),2)</f>
        <v>316.5</v>
      </c>
      <c r="J158" s="17">
        <v>14</v>
      </c>
      <c r="K158" s="18"/>
      <c r="L158" s="18"/>
      <c r="M158" s="20"/>
      <c r="N158" s="37">
        <f t="shared" si="4"/>
        <v>0</v>
      </c>
      <c r="O158" s="21">
        <v>0.3</v>
      </c>
      <c r="P158" s="22">
        <v>5.0000000000000001E-4</v>
      </c>
    </row>
    <row r="159" spans="1:16" s="1" customFormat="1" ht="119.1" customHeight="1" outlineLevel="3" x14ac:dyDescent="0.2">
      <c r="A159" s="11">
        <v>200342</v>
      </c>
      <c r="B159" s="12" t="s">
        <v>316</v>
      </c>
      <c r="C159" s="12" t="s">
        <v>50</v>
      </c>
      <c r="D159" s="13"/>
      <c r="E159" s="14" t="s">
        <v>317</v>
      </c>
      <c r="F159" s="15" t="s">
        <v>24</v>
      </c>
      <c r="G159" s="16"/>
      <c r="H159" s="36">
        <v>423.4</v>
      </c>
      <c r="I159" s="36">
        <f>ROUND(H159-(H159*I2/100),2)</f>
        <v>423.4</v>
      </c>
      <c r="J159" s="17">
        <v>8</v>
      </c>
      <c r="K159" s="18"/>
      <c r="L159" s="18"/>
      <c r="M159" s="20"/>
      <c r="N159" s="37">
        <f t="shared" si="4"/>
        <v>0</v>
      </c>
      <c r="O159" s="21">
        <v>0.11</v>
      </c>
      <c r="P159" s="22">
        <v>5.0000000000000001E-3</v>
      </c>
    </row>
    <row r="160" spans="1:16" s="1" customFormat="1" ht="119.1" customHeight="1" outlineLevel="3" x14ac:dyDescent="0.2">
      <c r="A160" s="11">
        <v>200341</v>
      </c>
      <c r="B160" s="12" t="s">
        <v>318</v>
      </c>
      <c r="C160" s="12" t="s">
        <v>50</v>
      </c>
      <c r="D160" s="13"/>
      <c r="E160" s="14" t="s">
        <v>319</v>
      </c>
      <c r="F160" s="15" t="s">
        <v>24</v>
      </c>
      <c r="G160" s="16"/>
      <c r="H160" s="36">
        <v>256.89999999999998</v>
      </c>
      <c r="I160" s="36">
        <f>ROUND(H160-(H160*I2/100),2)</f>
        <v>256.89999999999998</v>
      </c>
      <c r="J160" s="17">
        <v>27</v>
      </c>
      <c r="K160" s="18"/>
      <c r="L160" s="18"/>
      <c r="M160" s="20"/>
      <c r="N160" s="37">
        <f t="shared" si="4"/>
        <v>0</v>
      </c>
      <c r="O160" s="21">
        <v>0.15</v>
      </c>
      <c r="P160" s="22">
        <v>5.0000000000000001E-3</v>
      </c>
    </row>
    <row r="161" spans="1:16" s="1" customFormat="1" ht="119.1" customHeight="1" outlineLevel="3" x14ac:dyDescent="0.2">
      <c r="A161" s="11">
        <v>183793</v>
      </c>
      <c r="B161" s="12" t="s">
        <v>320</v>
      </c>
      <c r="C161" s="12" t="s">
        <v>22</v>
      </c>
      <c r="D161" s="13"/>
      <c r="E161" s="14" t="s">
        <v>321</v>
      </c>
      <c r="F161" s="15" t="s">
        <v>24</v>
      </c>
      <c r="G161" s="16"/>
      <c r="H161" s="36">
        <v>4014.7</v>
      </c>
      <c r="I161" s="36">
        <f>ROUND(H161-(H161*I2/100),2)</f>
        <v>4014.7</v>
      </c>
      <c r="J161" s="17">
        <v>9</v>
      </c>
      <c r="K161" s="18"/>
      <c r="L161" s="18"/>
      <c r="M161" s="20"/>
      <c r="N161" s="37">
        <f t="shared" si="4"/>
        <v>0</v>
      </c>
      <c r="O161" s="21">
        <v>0.75</v>
      </c>
      <c r="P161" s="22">
        <v>2.14E-3</v>
      </c>
    </row>
    <row r="162" spans="1:16" s="1" customFormat="1" ht="119.1" customHeight="1" outlineLevel="3" x14ac:dyDescent="0.2">
      <c r="A162" s="11">
        <v>186154</v>
      </c>
      <c r="B162" s="12" t="s">
        <v>322</v>
      </c>
      <c r="C162" s="12" t="s">
        <v>22</v>
      </c>
      <c r="D162" s="13"/>
      <c r="E162" s="14" t="s">
        <v>323</v>
      </c>
      <c r="F162" s="15" t="s">
        <v>24</v>
      </c>
      <c r="G162" s="16"/>
      <c r="H162" s="36">
        <v>2137.4</v>
      </c>
      <c r="I162" s="36">
        <f>ROUND(H162-(H162*I2/100),2)</f>
        <v>2137.4</v>
      </c>
      <c r="J162" s="17">
        <v>1</v>
      </c>
      <c r="K162" s="18"/>
      <c r="L162" s="18"/>
      <c r="M162" s="20"/>
      <c r="N162" s="37">
        <f t="shared" si="4"/>
        <v>0</v>
      </c>
      <c r="O162" s="21">
        <v>0.42499999999999999</v>
      </c>
      <c r="P162" s="22">
        <v>1.1640000000000001E-3</v>
      </c>
    </row>
    <row r="163" spans="1:16" s="1" customFormat="1" ht="119.1" customHeight="1" outlineLevel="3" x14ac:dyDescent="0.2">
      <c r="A163" s="11">
        <v>170976</v>
      </c>
      <c r="B163" s="12" t="s">
        <v>324</v>
      </c>
      <c r="C163" s="12" t="s">
        <v>22</v>
      </c>
      <c r="D163" s="13"/>
      <c r="E163" s="14" t="s">
        <v>325</v>
      </c>
      <c r="F163" s="15" t="s">
        <v>24</v>
      </c>
      <c r="G163" s="16"/>
      <c r="H163" s="36">
        <v>3563.82</v>
      </c>
      <c r="I163" s="36">
        <f>ROUND(H163-(H163*I2/100),2)</f>
        <v>3563.82</v>
      </c>
      <c r="J163" s="17">
        <v>9</v>
      </c>
      <c r="K163" s="18"/>
      <c r="L163" s="18"/>
      <c r="M163" s="20"/>
      <c r="N163" s="37">
        <f t="shared" si="4"/>
        <v>0</v>
      </c>
      <c r="O163" s="21">
        <v>0.4</v>
      </c>
      <c r="P163" s="22">
        <v>1.1640000000000001E-3</v>
      </c>
    </row>
    <row r="164" spans="1:16" s="1" customFormat="1" ht="119.1" customHeight="1" outlineLevel="3" x14ac:dyDescent="0.2">
      <c r="A164" s="11">
        <v>208266</v>
      </c>
      <c r="B164" s="12" t="s">
        <v>326</v>
      </c>
      <c r="C164" s="12" t="s">
        <v>22</v>
      </c>
      <c r="D164" s="13"/>
      <c r="E164" s="14" t="s">
        <v>327</v>
      </c>
      <c r="F164" s="15" t="s">
        <v>24</v>
      </c>
      <c r="G164" s="16"/>
      <c r="H164" s="36">
        <v>1843.6</v>
      </c>
      <c r="I164" s="36">
        <f>ROUND(H164-(H164*I2/100),2)</f>
        <v>1843.6</v>
      </c>
      <c r="J164" s="17">
        <v>18</v>
      </c>
      <c r="K164" s="18"/>
      <c r="L164" s="18"/>
      <c r="M164" s="20"/>
      <c r="N164" s="37">
        <f t="shared" si="4"/>
        <v>0</v>
      </c>
      <c r="O164" s="21">
        <v>0.36499999999999999</v>
      </c>
      <c r="P164" s="22">
        <v>1.1246000000000001E-2</v>
      </c>
    </row>
    <row r="165" spans="1:16" s="1" customFormat="1" ht="119.1" customHeight="1" outlineLevel="3" x14ac:dyDescent="0.2">
      <c r="A165" s="11">
        <v>170982</v>
      </c>
      <c r="B165" s="12" t="s">
        <v>328</v>
      </c>
      <c r="C165" s="12" t="s">
        <v>22</v>
      </c>
      <c r="D165" s="13"/>
      <c r="E165" s="14" t="s">
        <v>329</v>
      </c>
      <c r="F165" s="15" t="s">
        <v>24</v>
      </c>
      <c r="G165" s="16"/>
      <c r="H165" s="36">
        <v>2420</v>
      </c>
      <c r="I165" s="36">
        <f>ROUND(H165-(H165*I2/100),2)</f>
        <v>2420</v>
      </c>
      <c r="J165" s="17">
        <v>17</v>
      </c>
      <c r="K165" s="18"/>
      <c r="L165" s="18"/>
      <c r="M165" s="20"/>
      <c r="N165" s="37">
        <f t="shared" si="4"/>
        <v>0</v>
      </c>
      <c r="O165" s="21">
        <v>0.28000000000000003</v>
      </c>
      <c r="P165" s="22">
        <v>8.5700000000000001E-4</v>
      </c>
    </row>
    <row r="166" spans="1:16" s="1" customFormat="1" ht="119.1" customHeight="1" outlineLevel="3" x14ac:dyDescent="0.2">
      <c r="A166" s="11">
        <v>193925</v>
      </c>
      <c r="B166" s="12" t="s">
        <v>330</v>
      </c>
      <c r="C166" s="12" t="s">
        <v>22</v>
      </c>
      <c r="D166" s="13"/>
      <c r="E166" s="14" t="s">
        <v>331</v>
      </c>
      <c r="F166" s="15" t="s">
        <v>24</v>
      </c>
      <c r="G166" s="16"/>
      <c r="H166" s="36">
        <v>3798</v>
      </c>
      <c r="I166" s="36">
        <f>ROUND(H166-(H166*I2/100),2)</f>
        <v>3798</v>
      </c>
      <c r="J166" s="17">
        <v>3</v>
      </c>
      <c r="K166" s="18"/>
      <c r="L166" s="18"/>
      <c r="M166" s="20"/>
      <c r="N166" s="37">
        <f t="shared" si="4"/>
        <v>0</v>
      </c>
      <c r="O166" s="21">
        <v>0.51700000000000002</v>
      </c>
      <c r="P166" s="22">
        <v>1.444E-3</v>
      </c>
    </row>
    <row r="167" spans="1:16" s="1" customFormat="1" ht="119.1" customHeight="1" outlineLevel="3" x14ac:dyDescent="0.2">
      <c r="A167" s="11">
        <v>216957</v>
      </c>
      <c r="B167" s="12" t="s">
        <v>332</v>
      </c>
      <c r="C167" s="12" t="s">
        <v>50</v>
      </c>
      <c r="D167" s="13"/>
      <c r="E167" s="14" t="s">
        <v>333</v>
      </c>
      <c r="F167" s="15" t="s">
        <v>24</v>
      </c>
      <c r="G167" s="16"/>
      <c r="H167" s="36">
        <v>339.5</v>
      </c>
      <c r="I167" s="36">
        <f>ROUND(H167-(H167*I2/100),2)</f>
        <v>339.5</v>
      </c>
      <c r="J167" s="17">
        <v>38</v>
      </c>
      <c r="K167" s="18"/>
      <c r="L167" s="18"/>
      <c r="M167" s="20"/>
      <c r="N167" s="37">
        <f t="shared" si="4"/>
        <v>0</v>
      </c>
      <c r="O167" s="21">
        <v>0.121</v>
      </c>
      <c r="P167" s="22">
        <v>4.37E-4</v>
      </c>
    </row>
    <row r="168" spans="1:16" s="1" customFormat="1" ht="119.1" customHeight="1" outlineLevel="3" x14ac:dyDescent="0.2">
      <c r="A168" s="11">
        <v>187926</v>
      </c>
      <c r="B168" s="12" t="s">
        <v>334</v>
      </c>
      <c r="C168" s="12" t="s">
        <v>22</v>
      </c>
      <c r="D168" s="13"/>
      <c r="E168" s="14" t="s">
        <v>335</v>
      </c>
      <c r="F168" s="15" t="s">
        <v>24</v>
      </c>
      <c r="G168" s="16"/>
      <c r="H168" s="36">
        <v>586</v>
      </c>
      <c r="I168" s="36">
        <f>ROUND(H168-(H168*I2/100),2)</f>
        <v>586</v>
      </c>
      <c r="J168" s="17">
        <v>13</v>
      </c>
      <c r="K168" s="18"/>
      <c r="L168" s="18"/>
      <c r="M168" s="20"/>
      <c r="N168" s="37">
        <f t="shared" si="4"/>
        <v>0</v>
      </c>
      <c r="O168" s="21">
        <v>0.252</v>
      </c>
      <c r="P168" s="22">
        <v>8.7799999999999998E-4</v>
      </c>
    </row>
    <row r="169" spans="1:16" s="1" customFormat="1" ht="119.1" customHeight="1" outlineLevel="3" x14ac:dyDescent="0.2">
      <c r="A169" s="11">
        <v>217031</v>
      </c>
      <c r="B169" s="12" t="s">
        <v>336</v>
      </c>
      <c r="C169" s="12" t="s">
        <v>50</v>
      </c>
      <c r="D169" s="13"/>
      <c r="E169" s="14" t="s">
        <v>337</v>
      </c>
      <c r="F169" s="15" t="s">
        <v>24</v>
      </c>
      <c r="G169" s="16"/>
      <c r="H169" s="36">
        <v>528.79999999999995</v>
      </c>
      <c r="I169" s="36">
        <f>ROUND(H169-(H169*I2/100),2)</f>
        <v>528.79999999999995</v>
      </c>
      <c r="J169" s="17">
        <v>10</v>
      </c>
      <c r="K169" s="18"/>
      <c r="L169" s="18"/>
      <c r="M169" s="20"/>
      <c r="N169" s="37">
        <f t="shared" si="4"/>
        <v>0</v>
      </c>
      <c r="O169" s="21">
        <v>0.19500000000000001</v>
      </c>
      <c r="P169" s="22">
        <v>3.9599999999999998E-4</v>
      </c>
    </row>
    <row r="170" spans="1:16" s="1" customFormat="1" ht="119.1" customHeight="1" outlineLevel="3" x14ac:dyDescent="0.2">
      <c r="A170" s="11">
        <v>210399</v>
      </c>
      <c r="B170" s="12" t="s">
        <v>338</v>
      </c>
      <c r="C170" s="12" t="s">
        <v>50</v>
      </c>
      <c r="D170" s="13"/>
      <c r="E170" s="14" t="s">
        <v>339</v>
      </c>
      <c r="F170" s="15" t="s">
        <v>24</v>
      </c>
      <c r="G170" s="16"/>
      <c r="H170" s="36">
        <v>680.3</v>
      </c>
      <c r="I170" s="36">
        <f>ROUND(H170-(H170*I2/100),2)</f>
        <v>680.3</v>
      </c>
      <c r="J170" s="17">
        <v>4</v>
      </c>
      <c r="K170" s="18"/>
      <c r="L170" s="18"/>
      <c r="M170" s="20"/>
      <c r="N170" s="37">
        <f t="shared" si="4"/>
        <v>0</v>
      </c>
      <c r="O170" s="21">
        <v>0.3</v>
      </c>
      <c r="P170" s="22">
        <v>5.0000000000000001E-4</v>
      </c>
    </row>
    <row r="171" spans="1:16" s="1" customFormat="1" ht="119.1" customHeight="1" outlineLevel="3" x14ac:dyDescent="0.2">
      <c r="A171" s="11">
        <v>210400</v>
      </c>
      <c r="B171" s="12" t="s">
        <v>340</v>
      </c>
      <c r="C171" s="12" t="s">
        <v>50</v>
      </c>
      <c r="D171" s="13"/>
      <c r="E171" s="14" t="s">
        <v>341</v>
      </c>
      <c r="F171" s="15" t="s">
        <v>24</v>
      </c>
      <c r="G171" s="16"/>
      <c r="H171" s="36">
        <v>478.1</v>
      </c>
      <c r="I171" s="36">
        <f>ROUND(H171-(H171*I2/100),2)</f>
        <v>478.1</v>
      </c>
      <c r="J171" s="17">
        <v>7</v>
      </c>
      <c r="K171" s="18"/>
      <c r="L171" s="18"/>
      <c r="M171" s="20"/>
      <c r="N171" s="37">
        <f t="shared" si="4"/>
        <v>0</v>
      </c>
      <c r="O171" s="21">
        <v>0.3</v>
      </c>
      <c r="P171" s="22">
        <v>5.0000000000000001E-4</v>
      </c>
    </row>
    <row r="172" spans="1:16" s="1" customFormat="1" ht="119.1" customHeight="1" outlineLevel="3" x14ac:dyDescent="0.2">
      <c r="A172" s="11">
        <v>196086</v>
      </c>
      <c r="B172" s="12" t="s">
        <v>342</v>
      </c>
      <c r="C172" s="12" t="s">
        <v>22</v>
      </c>
      <c r="D172" s="13"/>
      <c r="E172" s="14" t="s">
        <v>343</v>
      </c>
      <c r="F172" s="15" t="s">
        <v>24</v>
      </c>
      <c r="G172" s="16"/>
      <c r="H172" s="36">
        <v>897</v>
      </c>
      <c r="I172" s="36">
        <f>ROUND(H172-(H172*I2/100),2)</f>
        <v>897</v>
      </c>
      <c r="J172" s="17">
        <v>157</v>
      </c>
      <c r="K172" s="18"/>
      <c r="L172" s="18"/>
      <c r="M172" s="20"/>
      <c r="N172" s="37">
        <f t="shared" si="4"/>
        <v>0</v>
      </c>
      <c r="O172" s="21">
        <v>0.3</v>
      </c>
      <c r="P172" s="22">
        <v>1.6280000000000001E-3</v>
      </c>
    </row>
    <row r="173" spans="1:16" s="1" customFormat="1" ht="119.1" customHeight="1" outlineLevel="3" x14ac:dyDescent="0.2">
      <c r="A173" s="11">
        <v>189124</v>
      </c>
      <c r="B173" s="12" t="s">
        <v>344</v>
      </c>
      <c r="C173" s="12" t="s">
        <v>22</v>
      </c>
      <c r="D173" s="13"/>
      <c r="E173" s="14" t="s">
        <v>345</v>
      </c>
      <c r="F173" s="15" t="s">
        <v>24</v>
      </c>
      <c r="G173" s="16"/>
      <c r="H173" s="36">
        <v>1421.3</v>
      </c>
      <c r="I173" s="36">
        <f>ROUND(H173-(H173*I2/100),2)</f>
        <v>1421.3</v>
      </c>
      <c r="J173" s="17">
        <v>268</v>
      </c>
      <c r="K173" s="18"/>
      <c r="L173" s="18"/>
      <c r="M173" s="20"/>
      <c r="N173" s="37">
        <f t="shared" si="4"/>
        <v>0</v>
      </c>
      <c r="O173" s="21">
        <v>0.375</v>
      </c>
      <c r="P173" s="22">
        <v>3.075E-3</v>
      </c>
    </row>
    <row r="174" spans="1:16" s="1" customFormat="1" ht="119.1" customHeight="1" outlineLevel="3" x14ac:dyDescent="0.2">
      <c r="A174" s="11">
        <v>196087</v>
      </c>
      <c r="B174" s="12" t="s">
        <v>346</v>
      </c>
      <c r="C174" s="12" t="s">
        <v>22</v>
      </c>
      <c r="D174" s="13"/>
      <c r="E174" s="14" t="s">
        <v>347</v>
      </c>
      <c r="F174" s="15" t="s">
        <v>24</v>
      </c>
      <c r="G174" s="16"/>
      <c r="H174" s="36">
        <v>360.2</v>
      </c>
      <c r="I174" s="36">
        <f>ROUND(H174-(H174*I2/100),2)</f>
        <v>360.2</v>
      </c>
      <c r="J174" s="17">
        <v>296</v>
      </c>
      <c r="K174" s="18"/>
      <c r="L174" s="18"/>
      <c r="M174" s="20"/>
      <c r="N174" s="37">
        <f t="shared" si="4"/>
        <v>0</v>
      </c>
      <c r="O174" s="21">
        <v>0.3</v>
      </c>
      <c r="P174" s="22">
        <v>4.1300000000000001E-4</v>
      </c>
    </row>
    <row r="175" spans="1:16" s="1" customFormat="1" ht="119.1" customHeight="1" outlineLevel="3" x14ac:dyDescent="0.2">
      <c r="A175" s="11">
        <v>207365</v>
      </c>
      <c r="B175" s="12" t="s">
        <v>348</v>
      </c>
      <c r="C175" s="12" t="s">
        <v>50</v>
      </c>
      <c r="D175" s="13"/>
      <c r="E175" s="14" t="s">
        <v>349</v>
      </c>
      <c r="F175" s="15" t="s">
        <v>24</v>
      </c>
      <c r="G175" s="16"/>
      <c r="H175" s="36">
        <v>62.2</v>
      </c>
      <c r="I175" s="36">
        <f>ROUND(H175-(H175*I2/100),2)</f>
        <v>62.2</v>
      </c>
      <c r="J175" s="17">
        <v>193</v>
      </c>
      <c r="K175" s="18"/>
      <c r="L175" s="18"/>
      <c r="M175" s="20"/>
      <c r="N175" s="37">
        <f t="shared" si="4"/>
        <v>0</v>
      </c>
      <c r="O175" s="21">
        <v>2.4E-2</v>
      </c>
      <c r="P175" s="22">
        <v>8.7999999999999998E-5</v>
      </c>
    </row>
    <row r="176" spans="1:16" s="1" customFormat="1" ht="119.1" customHeight="1" outlineLevel="3" x14ac:dyDescent="0.2">
      <c r="A176" s="11">
        <v>207364</v>
      </c>
      <c r="B176" s="12" t="s">
        <v>350</v>
      </c>
      <c r="C176" s="12" t="s">
        <v>50</v>
      </c>
      <c r="D176" s="13"/>
      <c r="E176" s="14" t="s">
        <v>351</v>
      </c>
      <c r="F176" s="15" t="s">
        <v>24</v>
      </c>
      <c r="G176" s="16"/>
      <c r="H176" s="36">
        <v>69</v>
      </c>
      <c r="I176" s="36">
        <f>ROUND(H176-(H176*I2/100),2)</f>
        <v>69</v>
      </c>
      <c r="J176" s="17">
        <v>98</v>
      </c>
      <c r="K176" s="18"/>
      <c r="L176" s="18"/>
      <c r="M176" s="20"/>
      <c r="N176" s="37">
        <f t="shared" si="4"/>
        <v>0</v>
      </c>
      <c r="O176" s="21">
        <v>3.1E-2</v>
      </c>
      <c r="P176" s="22">
        <v>1.1E-4</v>
      </c>
    </row>
    <row r="177" spans="1:16" s="1" customFormat="1" ht="119.1" customHeight="1" outlineLevel="3" x14ac:dyDescent="0.2">
      <c r="A177" s="11">
        <v>196175</v>
      </c>
      <c r="B177" s="12" t="s">
        <v>352</v>
      </c>
      <c r="C177" s="12" t="s">
        <v>22</v>
      </c>
      <c r="D177" s="13"/>
      <c r="E177" s="14" t="s">
        <v>353</v>
      </c>
      <c r="F177" s="15" t="s">
        <v>113</v>
      </c>
      <c r="G177" s="16"/>
      <c r="H177" s="36">
        <v>166.3</v>
      </c>
      <c r="I177" s="36">
        <f>ROUND(H177-(H177*I2/100),2)</f>
        <v>166.3</v>
      </c>
      <c r="J177" s="17">
        <v>643</v>
      </c>
      <c r="K177" s="18"/>
      <c r="L177" s="18"/>
      <c r="M177" s="20"/>
      <c r="N177" s="37">
        <f t="shared" si="4"/>
        <v>0</v>
      </c>
      <c r="O177" s="21">
        <v>0.11799999999999999</v>
      </c>
      <c r="P177" s="22">
        <v>2.2569999999999999E-3</v>
      </c>
    </row>
    <row r="178" spans="1:16" s="1" customFormat="1" ht="119.1" customHeight="1" outlineLevel="3" x14ac:dyDescent="0.2">
      <c r="A178" s="11">
        <v>207362</v>
      </c>
      <c r="B178" s="12" t="s">
        <v>354</v>
      </c>
      <c r="C178" s="12" t="s">
        <v>50</v>
      </c>
      <c r="D178" s="13"/>
      <c r="E178" s="14" t="s">
        <v>355</v>
      </c>
      <c r="F178" s="15" t="s">
        <v>24</v>
      </c>
      <c r="G178" s="16"/>
      <c r="H178" s="36">
        <v>23</v>
      </c>
      <c r="I178" s="36">
        <f>ROUND(H178-(H178*I2/100),2)</f>
        <v>23</v>
      </c>
      <c r="J178" s="17">
        <v>78</v>
      </c>
      <c r="K178" s="18"/>
      <c r="L178" s="18"/>
      <c r="M178" s="20"/>
      <c r="N178" s="37">
        <f t="shared" si="4"/>
        <v>0</v>
      </c>
      <c r="O178" s="21">
        <v>1.4E-2</v>
      </c>
      <c r="P178" s="22">
        <v>4.5100000000000001E-4</v>
      </c>
    </row>
    <row r="179" spans="1:16" s="1" customFormat="1" ht="119.1" customHeight="1" outlineLevel="3" x14ac:dyDescent="0.2">
      <c r="A179" s="11">
        <v>207363</v>
      </c>
      <c r="B179" s="12" t="s">
        <v>356</v>
      </c>
      <c r="C179" s="12" t="s">
        <v>50</v>
      </c>
      <c r="D179" s="13"/>
      <c r="E179" s="14" t="s">
        <v>357</v>
      </c>
      <c r="F179" s="15" t="s">
        <v>113</v>
      </c>
      <c r="G179" s="16"/>
      <c r="H179" s="36">
        <v>33.9</v>
      </c>
      <c r="I179" s="36">
        <f>ROUND(H179-(H179*I2/100),2)</f>
        <v>33.9</v>
      </c>
      <c r="J179" s="17">
        <v>153</v>
      </c>
      <c r="K179" s="18"/>
      <c r="L179" s="18"/>
      <c r="M179" s="20"/>
      <c r="N179" s="37">
        <f t="shared" si="4"/>
        <v>0</v>
      </c>
      <c r="O179" s="21">
        <v>1.9E-2</v>
      </c>
      <c r="P179" s="22">
        <v>4.15E-4</v>
      </c>
    </row>
    <row r="180" spans="1:16" s="1" customFormat="1" ht="119.1" customHeight="1" outlineLevel="3" x14ac:dyDescent="0.2">
      <c r="A180" s="11">
        <v>210402</v>
      </c>
      <c r="B180" s="12" t="s">
        <v>358</v>
      </c>
      <c r="C180" s="12" t="s">
        <v>50</v>
      </c>
      <c r="D180" s="13"/>
      <c r="E180" s="14" t="s">
        <v>359</v>
      </c>
      <c r="F180" s="15" t="s">
        <v>24</v>
      </c>
      <c r="G180" s="16"/>
      <c r="H180" s="36">
        <v>27</v>
      </c>
      <c r="I180" s="36">
        <f>ROUND(H180-(H180*I2/100),2)</f>
        <v>27</v>
      </c>
      <c r="J180" s="17">
        <v>83</v>
      </c>
      <c r="K180" s="18"/>
      <c r="L180" s="18"/>
      <c r="M180" s="20"/>
      <c r="N180" s="37">
        <f t="shared" si="4"/>
        <v>0</v>
      </c>
      <c r="O180" s="21">
        <v>0.3</v>
      </c>
      <c r="P180" s="22">
        <v>5.0000000000000001E-4</v>
      </c>
    </row>
    <row r="181" spans="1:16" s="1" customFormat="1" ht="119.1" customHeight="1" outlineLevel="3" x14ac:dyDescent="0.2">
      <c r="A181" s="11">
        <v>210403</v>
      </c>
      <c r="B181" s="12" t="s">
        <v>360</v>
      </c>
      <c r="C181" s="12" t="s">
        <v>50</v>
      </c>
      <c r="D181" s="13"/>
      <c r="E181" s="14" t="s">
        <v>361</v>
      </c>
      <c r="F181" s="15" t="s">
        <v>113</v>
      </c>
      <c r="G181" s="16"/>
      <c r="H181" s="36">
        <v>217.3</v>
      </c>
      <c r="I181" s="36">
        <f>ROUND(H181-(H181*I2/100),2)</f>
        <v>217.3</v>
      </c>
      <c r="J181" s="17">
        <v>136</v>
      </c>
      <c r="K181" s="18"/>
      <c r="L181" s="18"/>
      <c r="M181" s="20"/>
      <c r="N181" s="37">
        <f t="shared" si="4"/>
        <v>0</v>
      </c>
      <c r="O181" s="21">
        <v>0.3</v>
      </c>
      <c r="P181" s="22">
        <v>5.0000000000000001E-4</v>
      </c>
    </row>
    <row r="182" spans="1:16" s="8" customFormat="1" ht="15.95" customHeight="1" outlineLevel="2" x14ac:dyDescent="0.25">
      <c r="A182" s="9"/>
      <c r="B182" s="10"/>
      <c r="C182" s="10"/>
      <c r="D182" s="10" t="s">
        <v>362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6" s="8" customFormat="1" ht="15.95" customHeight="1" outlineLevel="3" x14ac:dyDescent="0.25">
      <c r="A183" s="9"/>
      <c r="B183" s="10"/>
      <c r="C183" s="10"/>
      <c r="D183" s="10" t="s">
        <v>363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spans="1:16" s="1" customFormat="1" ht="119.1" customHeight="1" outlineLevel="4" x14ac:dyDescent="0.2">
      <c r="A184" s="11">
        <v>177293</v>
      </c>
      <c r="B184" s="12" t="s">
        <v>364</v>
      </c>
      <c r="C184" s="12" t="s">
        <v>22</v>
      </c>
      <c r="D184" s="13"/>
      <c r="E184" s="14" t="s">
        <v>365</v>
      </c>
      <c r="F184" s="15" t="s">
        <v>24</v>
      </c>
      <c r="G184" s="16"/>
      <c r="H184" s="36">
        <v>384.2</v>
      </c>
      <c r="I184" s="36">
        <f>ROUND(H184-(H184*I2/100),2)</f>
        <v>384.2</v>
      </c>
      <c r="J184" s="17">
        <v>208</v>
      </c>
      <c r="K184" s="18"/>
      <c r="L184" s="18"/>
      <c r="M184" s="20"/>
      <c r="N184" s="37">
        <f>I184*M184</f>
        <v>0</v>
      </c>
      <c r="O184" s="21">
        <v>0.2</v>
      </c>
      <c r="P184" s="22">
        <v>1E-4</v>
      </c>
    </row>
    <row r="185" spans="1:16" s="1" customFormat="1" ht="119.1" customHeight="1" outlineLevel="4" x14ac:dyDescent="0.2">
      <c r="A185" s="11">
        <v>177289</v>
      </c>
      <c r="B185" s="12" t="s">
        <v>366</v>
      </c>
      <c r="C185" s="12" t="s">
        <v>22</v>
      </c>
      <c r="D185" s="13"/>
      <c r="E185" s="14" t="s">
        <v>367</v>
      </c>
      <c r="F185" s="15" t="s">
        <v>24</v>
      </c>
      <c r="G185" s="16"/>
      <c r="H185" s="36">
        <v>102.4</v>
      </c>
      <c r="I185" s="36">
        <f>ROUND(H185-(H185*I2/100),2)</f>
        <v>102.4</v>
      </c>
      <c r="J185" s="17">
        <v>484</v>
      </c>
      <c r="K185" s="18"/>
      <c r="L185" s="18"/>
      <c r="M185" s="20"/>
      <c r="N185" s="37">
        <f>I185*M185</f>
        <v>0</v>
      </c>
      <c r="O185" s="21">
        <v>0.1</v>
      </c>
      <c r="P185" s="22">
        <v>1E-4</v>
      </c>
    </row>
    <row r="186" spans="1:16" s="1" customFormat="1" ht="119.1" customHeight="1" outlineLevel="4" x14ac:dyDescent="0.2">
      <c r="A186" s="11">
        <v>177290</v>
      </c>
      <c r="B186" s="12" t="s">
        <v>368</v>
      </c>
      <c r="C186" s="12" t="s">
        <v>22</v>
      </c>
      <c r="D186" s="13"/>
      <c r="E186" s="14" t="s">
        <v>369</v>
      </c>
      <c r="F186" s="15" t="s">
        <v>24</v>
      </c>
      <c r="G186" s="16"/>
      <c r="H186" s="36">
        <v>151.5</v>
      </c>
      <c r="I186" s="36">
        <f>ROUND(H186-(H186*I2/100),2)</f>
        <v>151.5</v>
      </c>
      <c r="J186" s="17">
        <v>167</v>
      </c>
      <c r="K186" s="18"/>
      <c r="L186" s="18"/>
      <c r="M186" s="20"/>
      <c r="N186" s="37">
        <f>I186*M186</f>
        <v>0</v>
      </c>
      <c r="O186" s="21">
        <v>0.1</v>
      </c>
      <c r="P186" s="22">
        <v>1E-4</v>
      </c>
    </row>
    <row r="187" spans="1:16" s="1" customFormat="1" ht="119.1" customHeight="1" outlineLevel="4" x14ac:dyDescent="0.2">
      <c r="A187" s="11">
        <v>177291</v>
      </c>
      <c r="B187" s="12" t="s">
        <v>370</v>
      </c>
      <c r="C187" s="12" t="s">
        <v>22</v>
      </c>
      <c r="D187" s="13"/>
      <c r="E187" s="14" t="s">
        <v>371</v>
      </c>
      <c r="F187" s="15" t="s">
        <v>24</v>
      </c>
      <c r="G187" s="16"/>
      <c r="H187" s="36">
        <v>197.8</v>
      </c>
      <c r="I187" s="36">
        <f>ROUND(H187-(H187*I2/100),2)</f>
        <v>197.8</v>
      </c>
      <c r="J187" s="17">
        <v>14</v>
      </c>
      <c r="K187" s="18"/>
      <c r="L187" s="18"/>
      <c r="M187" s="20"/>
      <c r="N187" s="37">
        <f>I187*M187</f>
        <v>0</v>
      </c>
      <c r="O187" s="21">
        <v>0.15</v>
      </c>
      <c r="P187" s="22">
        <v>1E-4</v>
      </c>
    </row>
    <row r="188" spans="1:16" s="1" customFormat="1" ht="119.1" customHeight="1" outlineLevel="4" x14ac:dyDescent="0.2">
      <c r="A188" s="11">
        <v>177292</v>
      </c>
      <c r="B188" s="12" t="s">
        <v>372</v>
      </c>
      <c r="C188" s="12" t="s">
        <v>22</v>
      </c>
      <c r="D188" s="23"/>
      <c r="E188" s="24" t="s">
        <v>373</v>
      </c>
      <c r="F188" s="25" t="s">
        <v>24</v>
      </c>
      <c r="G188" s="26" t="s">
        <v>39</v>
      </c>
      <c r="H188" s="36">
        <v>240.17</v>
      </c>
      <c r="I188" s="36">
        <f>H188</f>
        <v>240.17</v>
      </c>
      <c r="J188" s="17">
        <v>239</v>
      </c>
      <c r="K188" s="18"/>
      <c r="L188" s="18"/>
      <c r="M188" s="20"/>
      <c r="N188" s="37">
        <f>I188*M188</f>
        <v>0</v>
      </c>
      <c r="O188" s="21">
        <v>0.16</v>
      </c>
      <c r="P188" s="22">
        <v>1E-4</v>
      </c>
    </row>
    <row r="189" spans="1:16" s="8" customFormat="1" ht="15.95" customHeight="1" outlineLevel="3" x14ac:dyDescent="0.25">
      <c r="A189" s="9"/>
      <c r="B189" s="10"/>
      <c r="C189" s="10"/>
      <c r="D189" s="10" t="s">
        <v>374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6" s="1" customFormat="1" ht="119.1" customHeight="1" outlineLevel="4" x14ac:dyDescent="0.2">
      <c r="A190" s="11">
        <v>184851</v>
      </c>
      <c r="B190" s="12" t="s">
        <v>375</v>
      </c>
      <c r="C190" s="12" t="s">
        <v>22</v>
      </c>
      <c r="D190" s="23"/>
      <c r="E190" s="24" t="s">
        <v>376</v>
      </c>
      <c r="F190" s="25" t="s">
        <v>24</v>
      </c>
      <c r="G190" s="26" t="s">
        <v>39</v>
      </c>
      <c r="H190" s="36">
        <v>329.67</v>
      </c>
      <c r="I190" s="36">
        <f>H190</f>
        <v>329.67</v>
      </c>
      <c r="J190" s="17">
        <v>88</v>
      </c>
      <c r="K190" s="18"/>
      <c r="L190" s="18"/>
      <c r="M190" s="20"/>
      <c r="N190" s="37">
        <f>I190*M190</f>
        <v>0</v>
      </c>
      <c r="O190" s="21">
        <v>0.3</v>
      </c>
      <c r="P190" s="22">
        <v>2.0000000000000001E-4</v>
      </c>
    </row>
    <row r="191" spans="1:16" s="1" customFormat="1" ht="119.1" customHeight="1" outlineLevel="4" x14ac:dyDescent="0.2">
      <c r="A191" s="11">
        <v>184852</v>
      </c>
      <c r="B191" s="12" t="s">
        <v>377</v>
      </c>
      <c r="C191" s="12" t="s">
        <v>22</v>
      </c>
      <c r="D191" s="23"/>
      <c r="E191" s="24" t="s">
        <v>378</v>
      </c>
      <c r="F191" s="25" t="s">
        <v>24</v>
      </c>
      <c r="G191" s="26" t="s">
        <v>39</v>
      </c>
      <c r="H191" s="36">
        <v>482.76</v>
      </c>
      <c r="I191" s="36">
        <f>H191</f>
        <v>482.76</v>
      </c>
      <c r="J191" s="17">
        <v>101</v>
      </c>
      <c r="K191" s="18"/>
      <c r="L191" s="18"/>
      <c r="M191" s="20"/>
      <c r="N191" s="37">
        <f>I191*M191</f>
        <v>0</v>
      </c>
      <c r="O191" s="21">
        <v>0.4</v>
      </c>
      <c r="P191" s="22">
        <v>2.0000000000000001E-4</v>
      </c>
    </row>
    <row r="192" spans="1:16" s="8" customFormat="1" ht="15.95" customHeight="1" outlineLevel="2" x14ac:dyDescent="0.25">
      <c r="A192" s="9"/>
      <c r="B192" s="10"/>
      <c r="C192" s="10"/>
      <c r="D192" s="10" t="s">
        <v>379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spans="1:16" s="1" customFormat="1" ht="119.1" customHeight="1" outlineLevel="3" x14ac:dyDescent="0.2">
      <c r="A193" s="11">
        <v>207342</v>
      </c>
      <c r="B193" s="12" t="s">
        <v>380</v>
      </c>
      <c r="C193" s="12" t="s">
        <v>50</v>
      </c>
      <c r="D193" s="13"/>
      <c r="E193" s="14" t="s">
        <v>381</v>
      </c>
      <c r="F193" s="15" t="s">
        <v>113</v>
      </c>
      <c r="G193" s="16"/>
      <c r="H193" s="36">
        <v>290.10000000000002</v>
      </c>
      <c r="I193" s="36">
        <f>ROUND(H193-(H193*I2/100),2)</f>
        <v>290.10000000000002</v>
      </c>
      <c r="J193" s="27">
        <v>1469</v>
      </c>
      <c r="K193" s="18"/>
      <c r="L193" s="18"/>
      <c r="M193" s="20"/>
      <c r="N193" s="37">
        <f t="shared" ref="N193:N202" si="5">I193*M193</f>
        <v>0</v>
      </c>
      <c r="O193" s="21">
        <v>6.9000000000000006E-2</v>
      </c>
      <c r="P193" s="22">
        <v>1.75E-4</v>
      </c>
    </row>
    <row r="194" spans="1:16" s="1" customFormat="1" ht="119.1" customHeight="1" outlineLevel="3" x14ac:dyDescent="0.2">
      <c r="A194" s="11">
        <v>212249</v>
      </c>
      <c r="B194" s="12" t="s">
        <v>382</v>
      </c>
      <c r="C194" s="12" t="s">
        <v>50</v>
      </c>
      <c r="D194" s="13"/>
      <c r="E194" s="14" t="s">
        <v>383</v>
      </c>
      <c r="F194" s="15" t="s">
        <v>113</v>
      </c>
      <c r="G194" s="16"/>
      <c r="H194" s="36">
        <v>116</v>
      </c>
      <c r="I194" s="36">
        <f>ROUND(H194-(H194*I2/100),2)</f>
        <v>116</v>
      </c>
      <c r="J194" s="27">
        <v>4090</v>
      </c>
      <c r="K194" s="18"/>
      <c r="L194" s="18"/>
      <c r="M194" s="20"/>
      <c r="N194" s="37">
        <f t="shared" si="5"/>
        <v>0</v>
      </c>
      <c r="O194" s="21">
        <v>0.3</v>
      </c>
      <c r="P194" s="22">
        <v>2E-3</v>
      </c>
    </row>
    <row r="195" spans="1:16" s="1" customFormat="1" ht="119.1" customHeight="1" outlineLevel="3" x14ac:dyDescent="0.2">
      <c r="A195" s="11">
        <v>196301</v>
      </c>
      <c r="B195" s="12" t="s">
        <v>384</v>
      </c>
      <c r="C195" s="12" t="s">
        <v>50</v>
      </c>
      <c r="D195" s="13"/>
      <c r="E195" s="14" t="s">
        <v>385</v>
      </c>
      <c r="F195" s="15" t="s">
        <v>113</v>
      </c>
      <c r="G195" s="16"/>
      <c r="H195" s="36">
        <v>125.5</v>
      </c>
      <c r="I195" s="36">
        <f>ROUND(H195-(H195*I2/100),2)</f>
        <v>125.5</v>
      </c>
      <c r="J195" s="27">
        <v>1686</v>
      </c>
      <c r="K195" s="18"/>
      <c r="L195" s="18"/>
      <c r="M195" s="20"/>
      <c r="N195" s="37">
        <f t="shared" si="5"/>
        <v>0</v>
      </c>
      <c r="O195" s="21">
        <v>9.7000000000000003E-2</v>
      </c>
      <c r="P195" s="22">
        <v>1.6699999999999999E-4</v>
      </c>
    </row>
    <row r="196" spans="1:16" s="1" customFormat="1" ht="119.1" customHeight="1" outlineLevel="3" x14ac:dyDescent="0.2">
      <c r="A196" s="11">
        <v>219315</v>
      </c>
      <c r="B196" s="12" t="s">
        <v>386</v>
      </c>
      <c r="C196" s="12" t="s">
        <v>50</v>
      </c>
      <c r="D196" s="13"/>
      <c r="E196" s="14" t="s">
        <v>387</v>
      </c>
      <c r="F196" s="15" t="s">
        <v>113</v>
      </c>
      <c r="G196" s="16"/>
      <c r="H196" s="36">
        <v>208.4</v>
      </c>
      <c r="I196" s="36">
        <f>ROUND(H196-(H196*I2/100),2)</f>
        <v>208.4</v>
      </c>
      <c r="J196" s="27">
        <v>2253</v>
      </c>
      <c r="K196" s="18"/>
      <c r="L196" s="18"/>
      <c r="M196" s="20"/>
      <c r="N196" s="37">
        <f t="shared" si="5"/>
        <v>0</v>
      </c>
      <c r="O196" s="21">
        <v>0.21299999999999999</v>
      </c>
      <c r="P196" s="22">
        <v>6.8400000000000004E-4</v>
      </c>
    </row>
    <row r="197" spans="1:16" s="1" customFormat="1" ht="119.1" customHeight="1" outlineLevel="3" x14ac:dyDescent="0.2">
      <c r="A197" s="11">
        <v>219316</v>
      </c>
      <c r="B197" s="12" t="s">
        <v>388</v>
      </c>
      <c r="C197" s="12" t="s">
        <v>50</v>
      </c>
      <c r="D197" s="13"/>
      <c r="E197" s="14" t="s">
        <v>389</v>
      </c>
      <c r="F197" s="15" t="s">
        <v>113</v>
      </c>
      <c r="G197" s="16"/>
      <c r="H197" s="36">
        <v>210.4</v>
      </c>
      <c r="I197" s="36">
        <f>ROUND(H197-(H197*I2/100),2)</f>
        <v>210.4</v>
      </c>
      <c r="J197" s="27">
        <v>2331</v>
      </c>
      <c r="K197" s="18"/>
      <c r="L197" s="18"/>
      <c r="M197" s="20"/>
      <c r="N197" s="37">
        <f t="shared" si="5"/>
        <v>0</v>
      </c>
      <c r="O197" s="21">
        <v>0.215</v>
      </c>
      <c r="P197" s="22">
        <v>6.8400000000000004E-4</v>
      </c>
    </row>
    <row r="198" spans="1:16" s="1" customFormat="1" ht="119.1" customHeight="1" outlineLevel="3" x14ac:dyDescent="0.2">
      <c r="A198" s="11">
        <v>219317</v>
      </c>
      <c r="B198" s="12" t="s">
        <v>390</v>
      </c>
      <c r="C198" s="12" t="s">
        <v>50</v>
      </c>
      <c r="D198" s="13"/>
      <c r="E198" s="14" t="s">
        <v>391</v>
      </c>
      <c r="F198" s="15" t="s">
        <v>113</v>
      </c>
      <c r="G198" s="16"/>
      <c r="H198" s="36">
        <v>210.4</v>
      </c>
      <c r="I198" s="36">
        <f>ROUND(H198-(H198*I2/100),2)</f>
        <v>210.4</v>
      </c>
      <c r="J198" s="27">
        <v>2340</v>
      </c>
      <c r="K198" s="18"/>
      <c r="L198" s="18"/>
      <c r="M198" s="20"/>
      <c r="N198" s="37">
        <f t="shared" si="5"/>
        <v>0</v>
      </c>
      <c r="O198" s="21">
        <v>0.217</v>
      </c>
      <c r="P198" s="22">
        <v>6.8400000000000004E-4</v>
      </c>
    </row>
    <row r="199" spans="1:16" s="1" customFormat="1" ht="119.1" customHeight="1" outlineLevel="3" x14ac:dyDescent="0.2">
      <c r="A199" s="11">
        <v>219318</v>
      </c>
      <c r="B199" s="12" t="s">
        <v>392</v>
      </c>
      <c r="C199" s="12" t="s">
        <v>50</v>
      </c>
      <c r="D199" s="13"/>
      <c r="E199" s="14" t="s">
        <v>393</v>
      </c>
      <c r="F199" s="15" t="s">
        <v>113</v>
      </c>
      <c r="G199" s="16"/>
      <c r="H199" s="36">
        <v>586.1</v>
      </c>
      <c r="I199" s="36">
        <f>ROUND(H199-(H199*I2/100),2)</f>
        <v>586.1</v>
      </c>
      <c r="J199" s="27">
        <v>5972</v>
      </c>
      <c r="K199" s="18"/>
      <c r="L199" s="18"/>
      <c r="M199" s="20"/>
      <c r="N199" s="37">
        <f t="shared" si="5"/>
        <v>0</v>
      </c>
      <c r="O199" s="21">
        <v>0.222</v>
      </c>
      <c r="P199" s="22">
        <v>5.8200000000000005E-4</v>
      </c>
    </row>
    <row r="200" spans="1:16" s="1" customFormat="1" ht="119.1" customHeight="1" outlineLevel="3" x14ac:dyDescent="0.2">
      <c r="A200" s="11">
        <v>200284</v>
      </c>
      <c r="B200" s="12" t="s">
        <v>394</v>
      </c>
      <c r="C200" s="12" t="s">
        <v>50</v>
      </c>
      <c r="D200" s="13"/>
      <c r="E200" s="14" t="s">
        <v>395</v>
      </c>
      <c r="F200" s="15" t="s">
        <v>113</v>
      </c>
      <c r="G200" s="16"/>
      <c r="H200" s="36">
        <v>188</v>
      </c>
      <c r="I200" s="36">
        <f>ROUND(H200-(H200*I2/100),2)</f>
        <v>188</v>
      </c>
      <c r="J200" s="17">
        <v>7</v>
      </c>
      <c r="K200" s="18"/>
      <c r="L200" s="18"/>
      <c r="M200" s="20"/>
      <c r="N200" s="37">
        <f t="shared" si="5"/>
        <v>0</v>
      </c>
      <c r="O200" s="21">
        <v>0.1</v>
      </c>
      <c r="P200" s="22">
        <v>2.0000000000000001E-4</v>
      </c>
    </row>
    <row r="201" spans="1:16" s="1" customFormat="1" ht="119.1" customHeight="1" outlineLevel="3" x14ac:dyDescent="0.2">
      <c r="A201" s="11">
        <v>210068</v>
      </c>
      <c r="B201" s="12" t="s">
        <v>396</v>
      </c>
      <c r="C201" s="12" t="s">
        <v>22</v>
      </c>
      <c r="D201" s="13"/>
      <c r="E201" s="14" t="s">
        <v>397</v>
      </c>
      <c r="F201" s="15" t="s">
        <v>24</v>
      </c>
      <c r="G201" s="16"/>
      <c r="H201" s="36">
        <v>672</v>
      </c>
      <c r="I201" s="36">
        <f>ROUND(H201-(H201*I2/100),2)</f>
        <v>672</v>
      </c>
      <c r="J201" s="17">
        <v>359</v>
      </c>
      <c r="K201" s="18"/>
      <c r="L201" s="18"/>
      <c r="M201" s="20"/>
      <c r="N201" s="37">
        <f t="shared" si="5"/>
        <v>0</v>
      </c>
      <c r="O201" s="21">
        <v>0.4</v>
      </c>
      <c r="P201" s="22">
        <v>2.5400000000000002E-3</v>
      </c>
    </row>
    <row r="202" spans="1:16" s="1" customFormat="1" ht="119.1" customHeight="1" outlineLevel="3" x14ac:dyDescent="0.2">
      <c r="A202" s="11">
        <v>187888</v>
      </c>
      <c r="B202" s="12" t="s">
        <v>398</v>
      </c>
      <c r="C202" s="12" t="s">
        <v>22</v>
      </c>
      <c r="D202" s="13"/>
      <c r="E202" s="14" t="s">
        <v>399</v>
      </c>
      <c r="F202" s="15" t="s">
        <v>24</v>
      </c>
      <c r="G202" s="16"/>
      <c r="H202" s="36">
        <v>333.1</v>
      </c>
      <c r="I202" s="36">
        <f>ROUND(H202-(H202*I2/100),2)</f>
        <v>333.1</v>
      </c>
      <c r="J202" s="17">
        <v>504</v>
      </c>
      <c r="K202" s="18"/>
      <c r="L202" s="18"/>
      <c r="M202" s="20"/>
      <c r="N202" s="37">
        <f t="shared" si="5"/>
        <v>0</v>
      </c>
      <c r="O202" s="21">
        <v>0.309</v>
      </c>
      <c r="P202" s="22">
        <v>2.6909999999999998E-3</v>
      </c>
    </row>
    <row r="203" spans="1:16" s="8" customFormat="1" ht="15.95" customHeight="1" outlineLevel="2" x14ac:dyDescent="0.25">
      <c r="A203" s="9"/>
      <c r="B203" s="10"/>
      <c r="C203" s="10"/>
      <c r="D203" s="10" t="s">
        <v>400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s="1" customFormat="1" ht="119.1" customHeight="1" outlineLevel="3" x14ac:dyDescent="0.2">
      <c r="A204" s="11">
        <v>188688</v>
      </c>
      <c r="B204" s="12" t="s">
        <v>401</v>
      </c>
      <c r="C204" s="12" t="s">
        <v>22</v>
      </c>
      <c r="D204" s="13"/>
      <c r="E204" s="14" t="s">
        <v>402</v>
      </c>
      <c r="F204" s="15" t="s">
        <v>113</v>
      </c>
      <c r="G204" s="16"/>
      <c r="H204" s="36">
        <v>37.9</v>
      </c>
      <c r="I204" s="36">
        <f>ROUND(H204-(H204*I2/100),2)</f>
        <v>37.9</v>
      </c>
      <c r="J204" s="17">
        <v>956</v>
      </c>
      <c r="K204" s="18"/>
      <c r="L204" s="18"/>
      <c r="M204" s="20"/>
      <c r="N204" s="37">
        <f t="shared" ref="N204:N232" si="6">I204*M204</f>
        <v>0</v>
      </c>
      <c r="O204" s="21">
        <v>2.5000000000000001E-2</v>
      </c>
      <c r="P204" s="22">
        <v>1.9999999999999999E-6</v>
      </c>
    </row>
    <row r="205" spans="1:16" s="1" customFormat="1" ht="119.1" customHeight="1" outlineLevel="3" x14ac:dyDescent="0.2">
      <c r="A205" s="11">
        <v>205899</v>
      </c>
      <c r="B205" s="12" t="s">
        <v>403</v>
      </c>
      <c r="C205" s="12" t="s">
        <v>50</v>
      </c>
      <c r="D205" s="13"/>
      <c r="E205" s="14" t="s">
        <v>404</v>
      </c>
      <c r="F205" s="15" t="s">
        <v>24</v>
      </c>
      <c r="G205" s="16"/>
      <c r="H205" s="36">
        <v>28.7</v>
      </c>
      <c r="I205" s="36">
        <f>ROUND(H205-(H205*I2/100),2)</f>
        <v>28.7</v>
      </c>
      <c r="J205" s="17">
        <v>283</v>
      </c>
      <c r="K205" s="18"/>
      <c r="L205" s="18"/>
      <c r="M205" s="20"/>
      <c r="N205" s="37">
        <f t="shared" si="6"/>
        <v>0</v>
      </c>
      <c r="O205" s="21">
        <v>0.03</v>
      </c>
      <c r="P205" s="22">
        <v>1.9999999999999999E-6</v>
      </c>
    </row>
    <row r="206" spans="1:16" s="1" customFormat="1" ht="119.1" customHeight="1" outlineLevel="3" x14ac:dyDescent="0.2">
      <c r="A206" s="11">
        <v>210067</v>
      </c>
      <c r="B206" s="12" t="s">
        <v>405</v>
      </c>
      <c r="C206" s="12" t="s">
        <v>22</v>
      </c>
      <c r="D206" s="13"/>
      <c r="E206" s="14" t="s">
        <v>406</v>
      </c>
      <c r="F206" s="15" t="s">
        <v>113</v>
      </c>
      <c r="G206" s="16"/>
      <c r="H206" s="36">
        <v>89.9</v>
      </c>
      <c r="I206" s="36">
        <f>ROUND(H206-(H206*I2/100),2)</f>
        <v>89.9</v>
      </c>
      <c r="J206" s="27">
        <v>2113</v>
      </c>
      <c r="K206" s="18"/>
      <c r="L206" s="18"/>
      <c r="M206" s="20"/>
      <c r="N206" s="37">
        <f t="shared" si="6"/>
        <v>0</v>
      </c>
      <c r="O206" s="21">
        <v>7.0999999999999994E-2</v>
      </c>
      <c r="P206" s="22">
        <v>3.6000000000000002E-4</v>
      </c>
    </row>
    <row r="207" spans="1:16" s="1" customFormat="1" ht="119.1" customHeight="1" outlineLevel="3" x14ac:dyDescent="0.2">
      <c r="A207" s="11">
        <v>170973</v>
      </c>
      <c r="B207" s="12" t="s">
        <v>407</v>
      </c>
      <c r="C207" s="12" t="s">
        <v>22</v>
      </c>
      <c r="D207" s="13"/>
      <c r="E207" s="14" t="s">
        <v>408</v>
      </c>
      <c r="F207" s="15" t="s">
        <v>113</v>
      </c>
      <c r="G207" s="16"/>
      <c r="H207" s="36">
        <v>47.8</v>
      </c>
      <c r="I207" s="36">
        <f>ROUND(H207-(H207*I2/100),2)</f>
        <v>47.8</v>
      </c>
      <c r="J207" s="17">
        <v>748</v>
      </c>
      <c r="K207" s="18"/>
      <c r="L207" s="18"/>
      <c r="M207" s="20"/>
      <c r="N207" s="37">
        <f t="shared" si="6"/>
        <v>0</v>
      </c>
      <c r="O207" s="21">
        <v>7.0999999999999994E-2</v>
      </c>
      <c r="P207" s="22">
        <v>3.1000000000000001E-5</v>
      </c>
    </row>
    <row r="208" spans="1:16" s="1" customFormat="1" ht="119.1" customHeight="1" outlineLevel="3" x14ac:dyDescent="0.2">
      <c r="A208" s="11">
        <v>196278</v>
      </c>
      <c r="B208" s="12" t="s">
        <v>409</v>
      </c>
      <c r="C208" s="12" t="s">
        <v>50</v>
      </c>
      <c r="D208" s="13"/>
      <c r="E208" s="14" t="s">
        <v>410</v>
      </c>
      <c r="F208" s="15" t="s">
        <v>113</v>
      </c>
      <c r="G208" s="16"/>
      <c r="H208" s="36">
        <v>40.6</v>
      </c>
      <c r="I208" s="36">
        <f>ROUND(H208-(H208*I2/100),2)</f>
        <v>40.6</v>
      </c>
      <c r="J208" s="27">
        <v>5384</v>
      </c>
      <c r="K208" s="18"/>
      <c r="L208" s="18"/>
      <c r="M208" s="20"/>
      <c r="N208" s="37">
        <f t="shared" si="6"/>
        <v>0</v>
      </c>
      <c r="O208" s="21">
        <v>7.0000000000000007E-2</v>
      </c>
      <c r="P208" s="22">
        <v>3.1000000000000001E-5</v>
      </c>
    </row>
    <row r="209" spans="1:16" s="1" customFormat="1" ht="119.1" customHeight="1" outlineLevel="3" x14ac:dyDescent="0.2">
      <c r="A209" s="11">
        <v>170971</v>
      </c>
      <c r="B209" s="12" t="s">
        <v>411</v>
      </c>
      <c r="C209" s="12" t="s">
        <v>22</v>
      </c>
      <c r="D209" s="13"/>
      <c r="E209" s="14" t="s">
        <v>412</v>
      </c>
      <c r="F209" s="15" t="s">
        <v>113</v>
      </c>
      <c r="G209" s="16"/>
      <c r="H209" s="36">
        <v>45.8</v>
      </c>
      <c r="I209" s="36">
        <f>ROUND(H209-(H209*I2/100),2)</f>
        <v>45.8</v>
      </c>
      <c r="J209" s="17">
        <v>442</v>
      </c>
      <c r="K209" s="18"/>
      <c r="L209" s="18"/>
      <c r="M209" s="20"/>
      <c r="N209" s="37">
        <f t="shared" si="6"/>
        <v>0</v>
      </c>
      <c r="O209" s="21">
        <v>3.5000000000000003E-2</v>
      </c>
      <c r="P209" s="22">
        <v>2.5000000000000001E-5</v>
      </c>
    </row>
    <row r="210" spans="1:16" s="1" customFormat="1" ht="119.1" customHeight="1" outlineLevel="3" x14ac:dyDescent="0.2">
      <c r="A210" s="11">
        <v>196618</v>
      </c>
      <c r="B210" s="12" t="s">
        <v>413</v>
      </c>
      <c r="C210" s="12" t="s">
        <v>50</v>
      </c>
      <c r="D210" s="13"/>
      <c r="E210" s="14" t="s">
        <v>414</v>
      </c>
      <c r="F210" s="15" t="s">
        <v>113</v>
      </c>
      <c r="G210" s="16"/>
      <c r="H210" s="36">
        <v>37.200000000000003</v>
      </c>
      <c r="I210" s="36">
        <f>ROUND(H210-(H210*I2/100),2)</f>
        <v>37.200000000000003</v>
      </c>
      <c r="J210" s="27">
        <v>1526</v>
      </c>
      <c r="K210" s="18"/>
      <c r="L210" s="18"/>
      <c r="M210" s="20"/>
      <c r="N210" s="37">
        <f t="shared" si="6"/>
        <v>0</v>
      </c>
      <c r="O210" s="21">
        <v>3.5000000000000003E-2</v>
      </c>
      <c r="P210" s="22">
        <v>2.5000000000000001E-5</v>
      </c>
    </row>
    <row r="211" spans="1:16" s="1" customFormat="1" ht="119.1" customHeight="1" outlineLevel="3" x14ac:dyDescent="0.2">
      <c r="A211" s="11">
        <v>196137</v>
      </c>
      <c r="B211" s="12" t="s">
        <v>415</v>
      </c>
      <c r="C211" s="12" t="s">
        <v>50</v>
      </c>
      <c r="D211" s="13"/>
      <c r="E211" s="14" t="s">
        <v>416</v>
      </c>
      <c r="F211" s="15" t="s">
        <v>113</v>
      </c>
      <c r="G211" s="16"/>
      <c r="H211" s="36">
        <v>116.3</v>
      </c>
      <c r="I211" s="36">
        <f>ROUND(H211-(H211*I2/100),2)</f>
        <v>116.3</v>
      </c>
      <c r="J211" s="27">
        <v>1418</v>
      </c>
      <c r="K211" s="18"/>
      <c r="L211" s="18"/>
      <c r="M211" s="20"/>
      <c r="N211" s="37">
        <f t="shared" si="6"/>
        <v>0</v>
      </c>
      <c r="O211" s="21">
        <v>0.17899999999999999</v>
      </c>
      <c r="P211" s="22">
        <v>2.2100000000000001E-4</v>
      </c>
    </row>
    <row r="212" spans="1:16" s="1" customFormat="1" ht="119.1" customHeight="1" outlineLevel="3" x14ac:dyDescent="0.2">
      <c r="A212" s="11">
        <v>192250</v>
      </c>
      <c r="B212" s="12" t="s">
        <v>417</v>
      </c>
      <c r="C212" s="12" t="s">
        <v>22</v>
      </c>
      <c r="D212" s="13"/>
      <c r="E212" s="14" t="s">
        <v>418</v>
      </c>
      <c r="F212" s="15" t="s">
        <v>113</v>
      </c>
      <c r="G212" s="16"/>
      <c r="H212" s="36">
        <v>219.8</v>
      </c>
      <c r="I212" s="36">
        <f>ROUND(H212-(H212*I2/100),2)</f>
        <v>219.8</v>
      </c>
      <c r="J212" s="27">
        <v>2875</v>
      </c>
      <c r="K212" s="18"/>
      <c r="L212" s="18"/>
      <c r="M212" s="20"/>
      <c r="N212" s="37">
        <f t="shared" si="6"/>
        <v>0</v>
      </c>
      <c r="O212" s="21">
        <v>0.17100000000000001</v>
      </c>
      <c r="P212" s="22">
        <v>2.2100000000000001E-4</v>
      </c>
    </row>
    <row r="213" spans="1:16" s="1" customFormat="1" ht="119.1" customHeight="1" outlineLevel="3" x14ac:dyDescent="0.2">
      <c r="A213" s="11">
        <v>183778</v>
      </c>
      <c r="B213" s="12" t="s">
        <v>419</v>
      </c>
      <c r="C213" s="12" t="s">
        <v>22</v>
      </c>
      <c r="D213" s="13"/>
      <c r="E213" s="14" t="s">
        <v>420</v>
      </c>
      <c r="F213" s="15" t="s">
        <v>24</v>
      </c>
      <c r="G213" s="16"/>
      <c r="H213" s="36">
        <v>327.8</v>
      </c>
      <c r="I213" s="36">
        <f>ROUND(H213-(H213*I2/100),2)</f>
        <v>327.8</v>
      </c>
      <c r="J213" s="17">
        <v>188</v>
      </c>
      <c r="K213" s="18"/>
      <c r="L213" s="18"/>
      <c r="M213" s="20"/>
      <c r="N213" s="37">
        <f t="shared" si="6"/>
        <v>0</v>
      </c>
      <c r="O213" s="21">
        <v>0.313</v>
      </c>
      <c r="P213" s="22">
        <v>7.3099999999999999E-4</v>
      </c>
    </row>
    <row r="214" spans="1:16" s="1" customFormat="1" ht="119.1" customHeight="1" outlineLevel="3" x14ac:dyDescent="0.2">
      <c r="A214" s="11">
        <v>204159</v>
      </c>
      <c r="B214" s="12" t="s">
        <v>421</v>
      </c>
      <c r="C214" s="12" t="s">
        <v>50</v>
      </c>
      <c r="D214" s="13"/>
      <c r="E214" s="14" t="s">
        <v>422</v>
      </c>
      <c r="F214" s="15" t="s">
        <v>24</v>
      </c>
      <c r="G214" s="16"/>
      <c r="H214" s="36">
        <v>185.7</v>
      </c>
      <c r="I214" s="36">
        <f>ROUND(H214-(H214*I2/100),2)</f>
        <v>185.7</v>
      </c>
      <c r="J214" s="17">
        <v>722</v>
      </c>
      <c r="K214" s="18"/>
      <c r="L214" s="18"/>
      <c r="M214" s="20"/>
      <c r="N214" s="37">
        <f t="shared" si="6"/>
        <v>0</v>
      </c>
      <c r="O214" s="21">
        <v>0.3</v>
      </c>
      <c r="P214" s="22">
        <v>2.9999999999999997E-4</v>
      </c>
    </row>
    <row r="215" spans="1:16" s="1" customFormat="1" ht="119.1" customHeight="1" outlineLevel="3" x14ac:dyDescent="0.2">
      <c r="A215" s="11">
        <v>216954</v>
      </c>
      <c r="B215" s="12" t="s">
        <v>423</v>
      </c>
      <c r="C215" s="12" t="s">
        <v>50</v>
      </c>
      <c r="D215" s="13"/>
      <c r="E215" s="14" t="s">
        <v>424</v>
      </c>
      <c r="F215" s="15" t="s">
        <v>24</v>
      </c>
      <c r="G215" s="16"/>
      <c r="H215" s="36">
        <v>19.5</v>
      </c>
      <c r="I215" s="36">
        <f>ROUND(H215-(H215*I2/100),2)</f>
        <v>19.5</v>
      </c>
      <c r="J215" s="27">
        <v>4746</v>
      </c>
      <c r="K215" s="18"/>
      <c r="L215" s="18"/>
      <c r="M215" s="20"/>
      <c r="N215" s="37">
        <f t="shared" si="6"/>
        <v>0</v>
      </c>
      <c r="O215" s="21">
        <v>1.4E-2</v>
      </c>
      <c r="P215" s="22">
        <v>3.2629999999999998E-3</v>
      </c>
    </row>
    <row r="216" spans="1:16" s="1" customFormat="1" ht="119.1" customHeight="1" outlineLevel="3" x14ac:dyDescent="0.2">
      <c r="A216" s="11">
        <v>204157</v>
      </c>
      <c r="B216" s="12" t="s">
        <v>425</v>
      </c>
      <c r="C216" s="12" t="s">
        <v>50</v>
      </c>
      <c r="D216" s="13"/>
      <c r="E216" s="14" t="s">
        <v>426</v>
      </c>
      <c r="F216" s="15" t="s">
        <v>24</v>
      </c>
      <c r="G216" s="16"/>
      <c r="H216" s="36">
        <v>31.2</v>
      </c>
      <c r="I216" s="36">
        <f>ROUND(H216-(H216*I2/100),2)</f>
        <v>31.2</v>
      </c>
      <c r="J216" s="17">
        <v>33</v>
      </c>
      <c r="K216" s="18"/>
      <c r="L216" s="18"/>
      <c r="M216" s="20"/>
      <c r="N216" s="37">
        <f t="shared" si="6"/>
        <v>0</v>
      </c>
      <c r="O216" s="21">
        <v>0.1</v>
      </c>
      <c r="P216" s="22">
        <v>2.0000000000000001E-4</v>
      </c>
    </row>
    <row r="217" spans="1:16" s="1" customFormat="1" ht="119.1" customHeight="1" outlineLevel="3" x14ac:dyDescent="0.2">
      <c r="A217" s="11">
        <v>140097</v>
      </c>
      <c r="B217" s="12" t="s">
        <v>427</v>
      </c>
      <c r="C217" s="12" t="s">
        <v>22</v>
      </c>
      <c r="D217" s="13"/>
      <c r="E217" s="14" t="s">
        <v>428</v>
      </c>
      <c r="F217" s="15" t="s">
        <v>24</v>
      </c>
      <c r="G217" s="16"/>
      <c r="H217" s="36">
        <v>453.9</v>
      </c>
      <c r="I217" s="36">
        <f>ROUND(H217-(H217*I2/100),2)</f>
        <v>453.9</v>
      </c>
      <c r="J217" s="17">
        <v>16</v>
      </c>
      <c r="K217" s="18"/>
      <c r="L217" s="18"/>
      <c r="M217" s="20"/>
      <c r="N217" s="37">
        <f t="shared" si="6"/>
        <v>0</v>
      </c>
      <c r="O217" s="21">
        <v>0.22500000000000001</v>
      </c>
      <c r="P217" s="22">
        <v>7.2199999999999999E-4</v>
      </c>
    </row>
    <row r="218" spans="1:16" s="1" customFormat="1" ht="119.1" customHeight="1" outlineLevel="3" x14ac:dyDescent="0.2">
      <c r="A218" s="11">
        <v>183337</v>
      </c>
      <c r="B218" s="12" t="s">
        <v>429</v>
      </c>
      <c r="C218" s="12" t="s">
        <v>22</v>
      </c>
      <c r="D218" s="13"/>
      <c r="E218" s="14" t="s">
        <v>430</v>
      </c>
      <c r="F218" s="15" t="s">
        <v>24</v>
      </c>
      <c r="G218" s="16"/>
      <c r="H218" s="36">
        <v>164.9</v>
      </c>
      <c r="I218" s="36">
        <f>ROUND(H218-(H218*I2/100),2)</f>
        <v>164.9</v>
      </c>
      <c r="J218" s="17">
        <v>815</v>
      </c>
      <c r="K218" s="18"/>
      <c r="L218" s="18"/>
      <c r="M218" s="20"/>
      <c r="N218" s="37">
        <f t="shared" si="6"/>
        <v>0</v>
      </c>
      <c r="O218" s="21">
        <v>0.122</v>
      </c>
      <c r="P218" s="22">
        <v>4.26E-4</v>
      </c>
    </row>
    <row r="219" spans="1:16" s="1" customFormat="1" ht="119.1" customHeight="1" outlineLevel="3" x14ac:dyDescent="0.2">
      <c r="A219" s="11">
        <v>190261</v>
      </c>
      <c r="B219" s="12" t="s">
        <v>431</v>
      </c>
      <c r="C219" s="12" t="s">
        <v>22</v>
      </c>
      <c r="D219" s="13"/>
      <c r="E219" s="14" t="s">
        <v>432</v>
      </c>
      <c r="F219" s="15" t="s">
        <v>24</v>
      </c>
      <c r="G219" s="16"/>
      <c r="H219" s="36">
        <v>122.9</v>
      </c>
      <c r="I219" s="36">
        <f>ROUND(H219-(H219*I2/100),2)</f>
        <v>122.9</v>
      </c>
      <c r="J219" s="17">
        <v>335</v>
      </c>
      <c r="K219" s="18"/>
      <c r="L219" s="18"/>
      <c r="M219" s="20"/>
      <c r="N219" s="37">
        <f t="shared" si="6"/>
        <v>0</v>
      </c>
      <c r="O219" s="21">
        <v>0.109</v>
      </c>
      <c r="P219" s="22">
        <v>4.4999999999999999E-4</v>
      </c>
    </row>
    <row r="220" spans="1:16" s="1" customFormat="1" ht="119.1" customHeight="1" outlineLevel="3" x14ac:dyDescent="0.2">
      <c r="A220" s="11">
        <v>165290</v>
      </c>
      <c r="B220" s="12" t="s">
        <v>433</v>
      </c>
      <c r="C220" s="12" t="s">
        <v>22</v>
      </c>
      <c r="D220" s="13"/>
      <c r="E220" s="14" t="s">
        <v>434</v>
      </c>
      <c r="F220" s="15" t="s">
        <v>24</v>
      </c>
      <c r="G220" s="16"/>
      <c r="H220" s="36">
        <v>119.3</v>
      </c>
      <c r="I220" s="36">
        <f>ROUND(H220-(H220*I2/100),2)</f>
        <v>119.3</v>
      </c>
      <c r="J220" s="17">
        <v>898</v>
      </c>
      <c r="K220" s="18"/>
      <c r="L220" s="18"/>
      <c r="M220" s="20"/>
      <c r="N220" s="37">
        <f t="shared" si="6"/>
        <v>0</v>
      </c>
      <c r="O220" s="21">
        <v>8.3000000000000004E-2</v>
      </c>
      <c r="P220" s="22">
        <v>4.7399999999999997E-4</v>
      </c>
    </row>
    <row r="221" spans="1:16" s="1" customFormat="1" ht="119.1" customHeight="1" outlineLevel="3" x14ac:dyDescent="0.2">
      <c r="A221" s="11">
        <v>183776</v>
      </c>
      <c r="B221" s="12" t="s">
        <v>435</v>
      </c>
      <c r="C221" s="12" t="s">
        <v>22</v>
      </c>
      <c r="D221" s="28"/>
      <c r="E221" s="29" t="s">
        <v>436</v>
      </c>
      <c r="F221" s="30" t="s">
        <v>24</v>
      </c>
      <c r="G221" s="31" t="s">
        <v>209</v>
      </c>
      <c r="H221" s="36">
        <v>137.9</v>
      </c>
      <c r="I221" s="36">
        <f>ROUND(H221-(H221*I2/100),2)</f>
        <v>137.9</v>
      </c>
      <c r="J221" s="17">
        <v>132</v>
      </c>
      <c r="K221" s="18"/>
      <c r="L221" s="18"/>
      <c r="M221" s="20"/>
      <c r="N221" s="37">
        <f t="shared" si="6"/>
        <v>0</v>
      </c>
      <c r="O221" s="21">
        <v>0.115</v>
      </c>
      <c r="P221" s="22">
        <v>3.7300000000000001E-4</v>
      </c>
    </row>
    <row r="222" spans="1:16" s="1" customFormat="1" ht="119.1" customHeight="1" outlineLevel="3" x14ac:dyDescent="0.2">
      <c r="A222" s="11">
        <v>198542</v>
      </c>
      <c r="B222" s="12" t="s">
        <v>437</v>
      </c>
      <c r="C222" s="12" t="s">
        <v>50</v>
      </c>
      <c r="D222" s="13"/>
      <c r="E222" s="14" t="s">
        <v>438</v>
      </c>
      <c r="F222" s="15" t="s">
        <v>24</v>
      </c>
      <c r="G222" s="16"/>
      <c r="H222" s="36">
        <v>28.5</v>
      </c>
      <c r="I222" s="36">
        <f>ROUND(H222-(H222*I2/100),2)</f>
        <v>28.5</v>
      </c>
      <c r="J222" s="27">
        <v>3706</v>
      </c>
      <c r="K222" s="18"/>
      <c r="L222" s="18"/>
      <c r="M222" s="20"/>
      <c r="N222" s="37">
        <f t="shared" si="6"/>
        <v>0</v>
      </c>
      <c r="O222" s="21">
        <v>0.03</v>
      </c>
      <c r="P222" s="22">
        <v>7.7999999999999999E-5</v>
      </c>
    </row>
    <row r="223" spans="1:16" s="1" customFormat="1" ht="119.1" customHeight="1" outlineLevel="3" x14ac:dyDescent="0.2">
      <c r="A223" s="11">
        <v>200275</v>
      </c>
      <c r="B223" s="12" t="s">
        <v>439</v>
      </c>
      <c r="C223" s="12" t="s">
        <v>50</v>
      </c>
      <c r="D223" s="13"/>
      <c r="E223" s="14" t="s">
        <v>440</v>
      </c>
      <c r="F223" s="15" t="s">
        <v>24</v>
      </c>
      <c r="G223" s="16"/>
      <c r="H223" s="36">
        <v>60.9</v>
      </c>
      <c r="I223" s="36">
        <f>ROUND(H223-(H223*I2/100),2)</f>
        <v>60.9</v>
      </c>
      <c r="J223" s="27">
        <v>3663</v>
      </c>
      <c r="K223" s="18"/>
      <c r="L223" s="18"/>
      <c r="M223" s="20"/>
      <c r="N223" s="37">
        <f t="shared" si="6"/>
        <v>0</v>
      </c>
      <c r="O223" s="21">
        <v>7.0000000000000007E-2</v>
      </c>
      <c r="P223" s="22">
        <v>2E-3</v>
      </c>
    </row>
    <row r="224" spans="1:16" s="1" customFormat="1" ht="119.1" customHeight="1" outlineLevel="3" x14ac:dyDescent="0.2">
      <c r="A224" s="11">
        <v>196279</v>
      </c>
      <c r="B224" s="12" t="s">
        <v>441</v>
      </c>
      <c r="C224" s="12" t="s">
        <v>50</v>
      </c>
      <c r="D224" s="13"/>
      <c r="E224" s="14" t="s">
        <v>442</v>
      </c>
      <c r="F224" s="15" t="s">
        <v>24</v>
      </c>
      <c r="G224" s="16"/>
      <c r="H224" s="36">
        <v>127.2</v>
      </c>
      <c r="I224" s="36">
        <f>ROUND(H224-(H224*I2/100),2)</f>
        <v>127.2</v>
      </c>
      <c r="J224" s="17">
        <v>312</v>
      </c>
      <c r="K224" s="18"/>
      <c r="L224" s="18"/>
      <c r="M224" s="20"/>
      <c r="N224" s="37">
        <f t="shared" si="6"/>
        <v>0</v>
      </c>
      <c r="O224" s="21">
        <v>0.11600000000000001</v>
      </c>
      <c r="P224" s="22">
        <v>3.7300000000000001E-4</v>
      </c>
    </row>
    <row r="225" spans="1:16" s="1" customFormat="1" ht="119.1" customHeight="1" outlineLevel="3" x14ac:dyDescent="0.2">
      <c r="A225" s="11">
        <v>216953</v>
      </c>
      <c r="B225" s="12" t="s">
        <v>443</v>
      </c>
      <c r="C225" s="12" t="s">
        <v>50</v>
      </c>
      <c r="D225" s="13"/>
      <c r="E225" s="14" t="s">
        <v>444</v>
      </c>
      <c r="F225" s="15" t="s">
        <v>24</v>
      </c>
      <c r="G225" s="16"/>
      <c r="H225" s="36">
        <v>210.9</v>
      </c>
      <c r="I225" s="36">
        <f>ROUND(H225-(H225*I2/100),2)</f>
        <v>210.9</v>
      </c>
      <c r="J225" s="17">
        <v>76</v>
      </c>
      <c r="K225" s="18"/>
      <c r="L225" s="18"/>
      <c r="M225" s="20"/>
      <c r="N225" s="37">
        <f t="shared" si="6"/>
        <v>0</v>
      </c>
      <c r="O225" s="21">
        <v>6.5000000000000002E-2</v>
      </c>
      <c r="P225" s="22">
        <v>3.57E-4</v>
      </c>
    </row>
    <row r="226" spans="1:16" s="1" customFormat="1" ht="119.1" customHeight="1" outlineLevel="3" x14ac:dyDescent="0.2">
      <c r="A226" s="11">
        <v>204160</v>
      </c>
      <c r="B226" s="12" t="s">
        <v>445</v>
      </c>
      <c r="C226" s="12" t="s">
        <v>50</v>
      </c>
      <c r="D226" s="13"/>
      <c r="E226" s="14" t="s">
        <v>446</v>
      </c>
      <c r="F226" s="15" t="s">
        <v>24</v>
      </c>
      <c r="G226" s="16"/>
      <c r="H226" s="36">
        <v>238.2</v>
      </c>
      <c r="I226" s="36">
        <f>ROUND(H226-(H226*I2/100),2)</f>
        <v>238.2</v>
      </c>
      <c r="J226" s="17">
        <v>5</v>
      </c>
      <c r="K226" s="18"/>
      <c r="L226" s="18"/>
      <c r="M226" s="20"/>
      <c r="N226" s="37">
        <f t="shared" si="6"/>
        <v>0</v>
      </c>
      <c r="O226" s="21">
        <v>0.2</v>
      </c>
      <c r="P226" s="22">
        <v>2.0000000000000001E-4</v>
      </c>
    </row>
    <row r="227" spans="1:16" s="1" customFormat="1" ht="119.1" customHeight="1" outlineLevel="3" x14ac:dyDescent="0.2">
      <c r="A227" s="11">
        <v>204161</v>
      </c>
      <c r="B227" s="12" t="s">
        <v>447</v>
      </c>
      <c r="C227" s="12" t="s">
        <v>50</v>
      </c>
      <c r="D227" s="13"/>
      <c r="E227" s="14" t="s">
        <v>448</v>
      </c>
      <c r="F227" s="15" t="s">
        <v>24</v>
      </c>
      <c r="G227" s="16"/>
      <c r="H227" s="36">
        <v>238.2</v>
      </c>
      <c r="I227" s="36">
        <f>ROUND(H227-(H227*I2/100),2)</f>
        <v>238.2</v>
      </c>
      <c r="J227" s="17">
        <v>1</v>
      </c>
      <c r="K227" s="18"/>
      <c r="L227" s="18"/>
      <c r="M227" s="20"/>
      <c r="N227" s="37">
        <f t="shared" si="6"/>
        <v>0</v>
      </c>
      <c r="O227" s="21">
        <v>0.2</v>
      </c>
      <c r="P227" s="22">
        <v>2.0000000000000001E-4</v>
      </c>
    </row>
    <row r="228" spans="1:16" s="1" customFormat="1" ht="119.1" customHeight="1" outlineLevel="3" x14ac:dyDescent="0.2">
      <c r="A228" s="11">
        <v>192943</v>
      </c>
      <c r="B228" s="12" t="s">
        <v>449</v>
      </c>
      <c r="C228" s="12" t="s">
        <v>22</v>
      </c>
      <c r="D228" s="13"/>
      <c r="E228" s="14" t="s">
        <v>450</v>
      </c>
      <c r="F228" s="15" t="s">
        <v>24</v>
      </c>
      <c r="G228" s="16"/>
      <c r="H228" s="36">
        <v>64.400000000000006</v>
      </c>
      <c r="I228" s="36">
        <f>ROUND(H228-(H228*I2/100),2)</f>
        <v>64.400000000000006</v>
      </c>
      <c r="J228" s="17">
        <v>164</v>
      </c>
      <c r="K228" s="18"/>
      <c r="L228" s="18"/>
      <c r="M228" s="20"/>
      <c r="N228" s="37">
        <f t="shared" si="6"/>
        <v>0</v>
      </c>
      <c r="O228" s="21">
        <v>0.15</v>
      </c>
      <c r="P228" s="22">
        <v>2.0000000000000001E-4</v>
      </c>
    </row>
    <row r="229" spans="1:16" s="1" customFormat="1" ht="119.1" customHeight="1" outlineLevel="3" x14ac:dyDescent="0.2">
      <c r="A229" s="11">
        <v>216955</v>
      </c>
      <c r="B229" s="12" t="s">
        <v>451</v>
      </c>
      <c r="C229" s="12" t="s">
        <v>50</v>
      </c>
      <c r="D229" s="13"/>
      <c r="E229" s="14" t="s">
        <v>452</v>
      </c>
      <c r="F229" s="15" t="s">
        <v>24</v>
      </c>
      <c r="G229" s="16"/>
      <c r="H229" s="36">
        <v>77.099999999999994</v>
      </c>
      <c r="I229" s="36">
        <f>ROUND(H229-(H229*I2/100),2)</f>
        <v>77.099999999999994</v>
      </c>
      <c r="J229" s="27">
        <v>1389</v>
      </c>
      <c r="K229" s="18"/>
      <c r="L229" s="18"/>
      <c r="M229" s="20"/>
      <c r="N229" s="37">
        <f t="shared" si="6"/>
        <v>0</v>
      </c>
      <c r="O229" s="21">
        <v>7.2999999999999995E-2</v>
      </c>
      <c r="P229" s="22">
        <v>2.92E-4</v>
      </c>
    </row>
    <row r="230" spans="1:16" s="1" customFormat="1" ht="119.1" customHeight="1" outlineLevel="3" x14ac:dyDescent="0.2">
      <c r="A230" s="11">
        <v>191732</v>
      </c>
      <c r="B230" s="12" t="s">
        <v>453</v>
      </c>
      <c r="C230" s="12" t="s">
        <v>22</v>
      </c>
      <c r="D230" s="13"/>
      <c r="E230" s="14" t="s">
        <v>454</v>
      </c>
      <c r="F230" s="15" t="s">
        <v>24</v>
      </c>
      <c r="G230" s="16"/>
      <c r="H230" s="36">
        <v>317.10000000000002</v>
      </c>
      <c r="I230" s="36">
        <f>ROUND(H230-(H230*I2/100),2)</f>
        <v>317.10000000000002</v>
      </c>
      <c r="J230" s="17">
        <v>41</v>
      </c>
      <c r="K230" s="18"/>
      <c r="L230" s="18"/>
      <c r="M230" s="20"/>
      <c r="N230" s="37">
        <f t="shared" si="6"/>
        <v>0</v>
      </c>
      <c r="O230" s="21">
        <v>0.14299999999999999</v>
      </c>
      <c r="P230" s="22">
        <v>2.3E-5</v>
      </c>
    </row>
    <row r="231" spans="1:16" s="1" customFormat="1" ht="119.1" customHeight="1" outlineLevel="3" x14ac:dyDescent="0.2">
      <c r="A231" s="11">
        <v>197326</v>
      </c>
      <c r="B231" s="12" t="s">
        <v>455</v>
      </c>
      <c r="C231" s="12" t="s">
        <v>50</v>
      </c>
      <c r="D231" s="13"/>
      <c r="E231" s="14" t="s">
        <v>456</v>
      </c>
      <c r="F231" s="15" t="s">
        <v>24</v>
      </c>
      <c r="G231" s="16"/>
      <c r="H231" s="36">
        <v>209.6</v>
      </c>
      <c r="I231" s="36">
        <f>ROUND(H231-(H231*I2/100),2)</f>
        <v>209.6</v>
      </c>
      <c r="J231" s="17">
        <v>146</v>
      </c>
      <c r="K231" s="18"/>
      <c r="L231" s="18"/>
      <c r="M231" s="20"/>
      <c r="N231" s="37">
        <f t="shared" si="6"/>
        <v>0</v>
      </c>
      <c r="O231" s="21">
        <v>0.115</v>
      </c>
      <c r="P231" s="22">
        <v>3.8299999999999999E-4</v>
      </c>
    </row>
    <row r="232" spans="1:16" s="1" customFormat="1" ht="119.1" customHeight="1" outlineLevel="3" x14ac:dyDescent="0.2">
      <c r="A232" s="11">
        <v>183777</v>
      </c>
      <c r="B232" s="12" t="s">
        <v>457</v>
      </c>
      <c r="C232" s="12" t="s">
        <v>22</v>
      </c>
      <c r="D232" s="13"/>
      <c r="E232" s="14" t="s">
        <v>458</v>
      </c>
      <c r="F232" s="15" t="s">
        <v>24</v>
      </c>
      <c r="G232" s="16"/>
      <c r="H232" s="36">
        <v>160.6</v>
      </c>
      <c r="I232" s="36">
        <f>ROUND(H232-(H232*I2/100),2)</f>
        <v>160.6</v>
      </c>
      <c r="J232" s="17">
        <v>133</v>
      </c>
      <c r="K232" s="18"/>
      <c r="L232" s="18"/>
      <c r="M232" s="20"/>
      <c r="N232" s="37">
        <f t="shared" si="6"/>
        <v>0</v>
      </c>
      <c r="O232" s="21">
        <v>0.104</v>
      </c>
      <c r="P232" s="22">
        <v>5.8100000000000003E-4</v>
      </c>
    </row>
    <row r="233" spans="1:16" s="8" customFormat="1" ht="15.95" customHeight="1" outlineLevel="2" x14ac:dyDescent="0.25">
      <c r="A233" s="9"/>
      <c r="B233" s="10"/>
      <c r="C233" s="10"/>
      <c r="D233" s="10" t="s">
        <v>459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s="8" customFormat="1" ht="15.95" customHeight="1" outlineLevel="3" x14ac:dyDescent="0.25">
      <c r="A234" s="9"/>
      <c r="B234" s="10"/>
      <c r="C234" s="10"/>
      <c r="D234" s="10" t="s">
        <v>460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s="1" customFormat="1" ht="119.1" customHeight="1" outlineLevel="4" x14ac:dyDescent="0.2">
      <c r="A235" s="11">
        <v>192281</v>
      </c>
      <c r="B235" s="12" t="s">
        <v>461</v>
      </c>
      <c r="C235" s="12" t="s">
        <v>22</v>
      </c>
      <c r="D235" s="13"/>
      <c r="E235" s="14" t="s">
        <v>462</v>
      </c>
      <c r="F235" s="15" t="s">
        <v>24</v>
      </c>
      <c r="G235" s="16"/>
      <c r="H235" s="36">
        <v>2764.6</v>
      </c>
      <c r="I235" s="36">
        <f>ROUND(H235-(H235*I2/100),2)</f>
        <v>2764.6</v>
      </c>
      <c r="J235" s="17">
        <v>16</v>
      </c>
      <c r="K235" s="18"/>
      <c r="L235" s="18"/>
      <c r="M235" s="20"/>
      <c r="N235" s="37">
        <f>I235*M235</f>
        <v>0</v>
      </c>
      <c r="O235" s="21">
        <v>1.833</v>
      </c>
      <c r="P235" s="22">
        <v>5.8349999999999999E-3</v>
      </c>
    </row>
    <row r="236" spans="1:16" s="1" customFormat="1" ht="119.1" customHeight="1" outlineLevel="4" x14ac:dyDescent="0.2">
      <c r="A236" s="11">
        <v>165333</v>
      </c>
      <c r="B236" s="12" t="s">
        <v>463</v>
      </c>
      <c r="C236" s="12" t="s">
        <v>22</v>
      </c>
      <c r="D236" s="28"/>
      <c r="E236" s="29" t="s">
        <v>464</v>
      </c>
      <c r="F236" s="30" t="s">
        <v>24</v>
      </c>
      <c r="G236" s="31" t="s">
        <v>209</v>
      </c>
      <c r="H236" s="36">
        <v>751.2</v>
      </c>
      <c r="I236" s="36">
        <f>ROUND(H236-(H236*I2/100),2)</f>
        <v>751.2</v>
      </c>
      <c r="J236" s="17">
        <v>36</v>
      </c>
      <c r="K236" s="18"/>
      <c r="L236" s="18"/>
      <c r="M236" s="20"/>
      <c r="N236" s="37">
        <f>I236*M236</f>
        <v>0</v>
      </c>
      <c r="O236" s="21">
        <v>0.25600000000000001</v>
      </c>
      <c r="P236" s="22">
        <v>2.1059999999999998E-3</v>
      </c>
    </row>
    <row r="237" spans="1:16" s="1" customFormat="1" ht="119.1" customHeight="1" outlineLevel="4" x14ac:dyDescent="0.2">
      <c r="A237" s="11">
        <v>189565</v>
      </c>
      <c r="B237" s="12" t="s">
        <v>465</v>
      </c>
      <c r="C237" s="12" t="s">
        <v>22</v>
      </c>
      <c r="D237" s="13"/>
      <c r="E237" s="14" t="s">
        <v>466</v>
      </c>
      <c r="F237" s="15" t="s">
        <v>24</v>
      </c>
      <c r="G237" s="16"/>
      <c r="H237" s="36">
        <v>1023.1</v>
      </c>
      <c r="I237" s="36">
        <f>ROUND(H237-(H237*I2/100),2)</f>
        <v>1023.1</v>
      </c>
      <c r="J237" s="17">
        <v>43</v>
      </c>
      <c r="K237" s="18"/>
      <c r="L237" s="18"/>
      <c r="M237" s="20"/>
      <c r="N237" s="37">
        <f>I237*M237</f>
        <v>0</v>
      </c>
      <c r="O237" s="21">
        <v>0.316</v>
      </c>
      <c r="P237" s="22">
        <v>2.1059999999999998E-3</v>
      </c>
    </row>
    <row r="238" spans="1:16" s="8" customFormat="1" ht="15.95" customHeight="1" outlineLevel="2" x14ac:dyDescent="0.25">
      <c r="A238" s="9"/>
      <c r="B238" s="10"/>
      <c r="C238" s="10"/>
      <c r="D238" s="10" t="s">
        <v>467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s="1" customFormat="1" ht="119.1" customHeight="1" outlineLevel="3" x14ac:dyDescent="0.2">
      <c r="A239" s="11">
        <v>191232</v>
      </c>
      <c r="B239" s="12" t="s">
        <v>468</v>
      </c>
      <c r="C239" s="12" t="s">
        <v>22</v>
      </c>
      <c r="D239" s="13"/>
      <c r="E239" s="14" t="s">
        <v>469</v>
      </c>
      <c r="F239" s="15" t="s">
        <v>24</v>
      </c>
      <c r="G239" s="16"/>
      <c r="H239" s="36">
        <v>7031</v>
      </c>
      <c r="I239" s="36">
        <f>ROUND(H239-(H239*I2/100),2)</f>
        <v>7031</v>
      </c>
      <c r="J239" s="17">
        <v>6</v>
      </c>
      <c r="K239" s="18"/>
      <c r="L239" s="18"/>
      <c r="M239" s="20"/>
      <c r="N239" s="37">
        <f t="shared" ref="N239:N244" si="7">I239*M239</f>
        <v>0</v>
      </c>
      <c r="O239" s="21">
        <v>1.2</v>
      </c>
      <c r="P239" s="22">
        <v>3.0000000000000001E-3</v>
      </c>
    </row>
    <row r="240" spans="1:16" s="1" customFormat="1" ht="119.1" customHeight="1" outlineLevel="3" x14ac:dyDescent="0.2">
      <c r="A240" s="11">
        <v>196132</v>
      </c>
      <c r="B240" s="12" t="s">
        <v>470</v>
      </c>
      <c r="C240" s="12" t="s">
        <v>50</v>
      </c>
      <c r="D240" s="13"/>
      <c r="E240" s="14" t="s">
        <v>471</v>
      </c>
      <c r="F240" s="15" t="s">
        <v>24</v>
      </c>
      <c r="G240" s="16"/>
      <c r="H240" s="36">
        <v>170.1</v>
      </c>
      <c r="I240" s="36">
        <f>ROUND(H240-(H240*I2/100),2)</f>
        <v>170.1</v>
      </c>
      <c r="J240" s="17">
        <v>342</v>
      </c>
      <c r="K240" s="18"/>
      <c r="L240" s="18"/>
      <c r="M240" s="20"/>
      <c r="N240" s="37">
        <f t="shared" si="7"/>
        <v>0</v>
      </c>
      <c r="O240" s="21">
        <v>0.33300000000000002</v>
      </c>
      <c r="P240" s="22">
        <v>1.0020000000000001E-3</v>
      </c>
    </row>
    <row r="241" spans="1:16" s="1" customFormat="1" ht="119.1" customHeight="1" outlineLevel="3" x14ac:dyDescent="0.2">
      <c r="A241" s="11">
        <v>196270</v>
      </c>
      <c r="B241" s="12" t="s">
        <v>472</v>
      </c>
      <c r="C241" s="12" t="s">
        <v>50</v>
      </c>
      <c r="D241" s="13"/>
      <c r="E241" s="14" t="s">
        <v>473</v>
      </c>
      <c r="F241" s="15" t="s">
        <v>24</v>
      </c>
      <c r="G241" s="16"/>
      <c r="H241" s="36">
        <v>186.6</v>
      </c>
      <c r="I241" s="36">
        <f>ROUND(H241-(H241*I2/100),2)</f>
        <v>186.6</v>
      </c>
      <c r="J241" s="17">
        <v>389</v>
      </c>
      <c r="K241" s="18"/>
      <c r="L241" s="18"/>
      <c r="M241" s="20"/>
      <c r="N241" s="37">
        <f t="shared" si="7"/>
        <v>0</v>
      </c>
      <c r="O241" s="21">
        <v>0.33300000000000002</v>
      </c>
      <c r="P241" s="22">
        <v>5.0799999999999999E-4</v>
      </c>
    </row>
    <row r="242" spans="1:16" s="1" customFormat="1" ht="119.1" customHeight="1" outlineLevel="3" x14ac:dyDescent="0.2">
      <c r="A242" s="11">
        <v>169157</v>
      </c>
      <c r="B242" s="12" t="s">
        <v>474</v>
      </c>
      <c r="C242" s="12" t="s">
        <v>22</v>
      </c>
      <c r="D242" s="13"/>
      <c r="E242" s="14" t="s">
        <v>475</v>
      </c>
      <c r="F242" s="15" t="s">
        <v>24</v>
      </c>
      <c r="G242" s="16"/>
      <c r="H242" s="36">
        <v>403.4</v>
      </c>
      <c r="I242" s="36">
        <f>ROUND(H242-(H242*I2/100),2)</f>
        <v>403.4</v>
      </c>
      <c r="J242" s="17">
        <v>199</v>
      </c>
      <c r="K242" s="18"/>
      <c r="L242" s="18"/>
      <c r="M242" s="20"/>
      <c r="N242" s="37">
        <f t="shared" si="7"/>
        <v>0</v>
      </c>
      <c r="O242" s="21">
        <v>0.52100000000000002</v>
      </c>
      <c r="P242" s="22">
        <v>2.8830000000000001E-3</v>
      </c>
    </row>
    <row r="243" spans="1:16" s="1" customFormat="1" ht="119.1" customHeight="1" outlineLevel="3" x14ac:dyDescent="0.2">
      <c r="A243" s="11">
        <v>183264</v>
      </c>
      <c r="B243" s="12" t="s">
        <v>476</v>
      </c>
      <c r="C243" s="12" t="s">
        <v>22</v>
      </c>
      <c r="D243" s="13"/>
      <c r="E243" s="14" t="s">
        <v>477</v>
      </c>
      <c r="F243" s="15" t="s">
        <v>24</v>
      </c>
      <c r="G243" s="16"/>
      <c r="H243" s="36">
        <v>336.8</v>
      </c>
      <c r="I243" s="36">
        <f>ROUND(H243-(H243*I2/100),2)</f>
        <v>336.8</v>
      </c>
      <c r="J243" s="17">
        <v>98</v>
      </c>
      <c r="K243" s="18"/>
      <c r="L243" s="18"/>
      <c r="M243" s="20"/>
      <c r="N243" s="37">
        <f t="shared" si="7"/>
        <v>0</v>
      </c>
      <c r="O243" s="21">
        <v>0.39600000000000002</v>
      </c>
      <c r="P243" s="22">
        <v>5.0799999999999999E-4</v>
      </c>
    </row>
    <row r="244" spans="1:16" s="1" customFormat="1" ht="119.1" customHeight="1" outlineLevel="3" x14ac:dyDescent="0.2">
      <c r="A244" s="11">
        <v>171484</v>
      </c>
      <c r="B244" s="12" t="s">
        <v>478</v>
      </c>
      <c r="C244" s="12" t="s">
        <v>22</v>
      </c>
      <c r="D244" s="13"/>
      <c r="E244" s="14" t="s">
        <v>479</v>
      </c>
      <c r="F244" s="15" t="s">
        <v>24</v>
      </c>
      <c r="G244" s="16"/>
      <c r="H244" s="36">
        <v>528.29999999999995</v>
      </c>
      <c r="I244" s="36">
        <f>ROUND(H244-(H244*I2/100),2)</f>
        <v>528.29999999999995</v>
      </c>
      <c r="J244" s="17">
        <v>242</v>
      </c>
      <c r="K244" s="18"/>
      <c r="L244" s="18"/>
      <c r="M244" s="20"/>
      <c r="N244" s="37">
        <f t="shared" si="7"/>
        <v>0</v>
      </c>
      <c r="O244" s="21">
        <v>0.58299999999999996</v>
      </c>
      <c r="P244" s="22">
        <v>1.4630000000000001E-3</v>
      </c>
    </row>
    <row r="245" spans="1:16" s="8" customFormat="1" ht="15.95" customHeight="1" outlineLevel="2" x14ac:dyDescent="0.25">
      <c r="A245" s="9"/>
      <c r="B245" s="10"/>
      <c r="C245" s="10"/>
      <c r="D245" s="10" t="s">
        <v>480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s="1" customFormat="1" ht="119.1" customHeight="1" outlineLevel="3" x14ac:dyDescent="0.2">
      <c r="A246" s="11">
        <v>165151</v>
      </c>
      <c r="B246" s="12" t="s">
        <v>481</v>
      </c>
      <c r="C246" s="12" t="s">
        <v>22</v>
      </c>
      <c r="D246" s="13"/>
      <c r="E246" s="14" t="s">
        <v>482</v>
      </c>
      <c r="F246" s="15" t="s">
        <v>24</v>
      </c>
      <c r="G246" s="16"/>
      <c r="H246" s="36">
        <v>1511</v>
      </c>
      <c r="I246" s="36">
        <f>ROUND(H246-(H246*I2/100),2)</f>
        <v>1511</v>
      </c>
      <c r="J246" s="17">
        <v>6</v>
      </c>
      <c r="K246" s="18"/>
      <c r="L246" s="18"/>
      <c r="M246" s="20"/>
      <c r="N246" s="37">
        <f>I246*M246</f>
        <v>0</v>
      </c>
      <c r="O246" s="21">
        <v>0.69599999999999995</v>
      </c>
      <c r="P246" s="22">
        <v>3.7669999999999999E-3</v>
      </c>
    </row>
    <row r="247" spans="1:16" s="8" customFormat="1" ht="15.95" customHeight="1" outlineLevel="2" x14ac:dyDescent="0.25">
      <c r="A247" s="9"/>
      <c r="B247" s="10"/>
      <c r="C247" s="10"/>
      <c r="D247" s="10" t="s">
        <v>483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s="8" customFormat="1" ht="15.95" customHeight="1" outlineLevel="3" x14ac:dyDescent="0.25">
      <c r="A248" s="9"/>
      <c r="B248" s="10"/>
      <c r="C248" s="10"/>
      <c r="D248" s="10" t="s">
        <v>484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s="1" customFormat="1" ht="119.1" customHeight="1" outlineLevel="4" x14ac:dyDescent="0.2">
      <c r="A249" s="11">
        <v>165323</v>
      </c>
      <c r="B249" s="12" t="s">
        <v>485</v>
      </c>
      <c r="C249" s="12" t="s">
        <v>22</v>
      </c>
      <c r="D249" s="13"/>
      <c r="E249" s="14" t="s">
        <v>486</v>
      </c>
      <c r="F249" s="15" t="s">
        <v>113</v>
      </c>
      <c r="G249" s="16"/>
      <c r="H249" s="36">
        <v>719.7</v>
      </c>
      <c r="I249" s="36">
        <f>ROUND(H249-(H249*I2/100),2)</f>
        <v>719.7</v>
      </c>
      <c r="J249" s="27">
        <v>1040</v>
      </c>
      <c r="K249" s="18"/>
      <c r="L249" s="18"/>
      <c r="M249" s="20"/>
      <c r="N249" s="37">
        <f t="shared" ref="N249:N254" si="8">I249*M249</f>
        <v>0</v>
      </c>
      <c r="O249" s="21">
        <v>0.104</v>
      </c>
      <c r="P249" s="22">
        <v>2.4800000000000001E-4</v>
      </c>
    </row>
    <row r="250" spans="1:16" s="1" customFormat="1" ht="119.1" customHeight="1" outlineLevel="4" x14ac:dyDescent="0.2">
      <c r="A250" s="11">
        <v>208260</v>
      </c>
      <c r="B250" s="12" t="s">
        <v>487</v>
      </c>
      <c r="C250" s="12" t="s">
        <v>22</v>
      </c>
      <c r="D250" s="13"/>
      <c r="E250" s="14" t="s">
        <v>488</v>
      </c>
      <c r="F250" s="15" t="s">
        <v>24</v>
      </c>
      <c r="G250" s="16"/>
      <c r="H250" s="36">
        <v>2502.5</v>
      </c>
      <c r="I250" s="36">
        <f>ROUND(H250-(H250*I2/100),2)</f>
        <v>2502.5</v>
      </c>
      <c r="J250" s="17">
        <v>18</v>
      </c>
      <c r="K250" s="18"/>
      <c r="L250" s="18"/>
      <c r="M250" s="20"/>
      <c r="N250" s="37">
        <f t="shared" si="8"/>
        <v>0</v>
      </c>
      <c r="O250" s="21">
        <v>0.55800000000000005</v>
      </c>
      <c r="P250" s="22">
        <v>8.6600000000000002E-4</v>
      </c>
    </row>
    <row r="251" spans="1:16" s="1" customFormat="1" ht="119.1" customHeight="1" outlineLevel="4" x14ac:dyDescent="0.2">
      <c r="A251" s="11">
        <v>208665</v>
      </c>
      <c r="B251" s="12" t="s">
        <v>489</v>
      </c>
      <c r="C251" s="12" t="s">
        <v>22</v>
      </c>
      <c r="D251" s="13"/>
      <c r="E251" s="14" t="s">
        <v>490</v>
      </c>
      <c r="F251" s="15" t="s">
        <v>113</v>
      </c>
      <c r="G251" s="16"/>
      <c r="H251" s="36">
        <v>1002.5</v>
      </c>
      <c r="I251" s="36">
        <f>ROUND(H251-(H251*I2/100),2)</f>
        <v>1002.5</v>
      </c>
      <c r="J251" s="17">
        <v>161</v>
      </c>
      <c r="K251" s="18"/>
      <c r="L251" s="18"/>
      <c r="M251" s="20"/>
      <c r="N251" s="37">
        <f t="shared" si="8"/>
        <v>0</v>
      </c>
      <c r="O251" s="21">
        <v>0.6</v>
      </c>
      <c r="P251" s="22">
        <v>4.8050000000000002E-3</v>
      </c>
    </row>
    <row r="252" spans="1:16" s="1" customFormat="1" ht="119.1" customHeight="1" outlineLevel="4" x14ac:dyDescent="0.2">
      <c r="A252" s="11">
        <v>192234</v>
      </c>
      <c r="B252" s="12" t="s">
        <v>491</v>
      </c>
      <c r="C252" s="12" t="s">
        <v>22</v>
      </c>
      <c r="D252" s="13"/>
      <c r="E252" s="14" t="s">
        <v>492</v>
      </c>
      <c r="F252" s="15" t="s">
        <v>113</v>
      </c>
      <c r="G252" s="16"/>
      <c r="H252" s="36">
        <v>321</v>
      </c>
      <c r="I252" s="36">
        <f>ROUND(H252-(H252*I2/100),2)</f>
        <v>321</v>
      </c>
      <c r="J252" s="17">
        <v>140</v>
      </c>
      <c r="K252" s="18"/>
      <c r="L252" s="18"/>
      <c r="M252" s="20"/>
      <c r="N252" s="37">
        <f t="shared" si="8"/>
        <v>0</v>
      </c>
      <c r="O252" s="21">
        <v>0.15</v>
      </c>
      <c r="P252" s="22">
        <v>3.6099999999999999E-4</v>
      </c>
    </row>
    <row r="253" spans="1:16" s="1" customFormat="1" ht="119.1" customHeight="1" outlineLevel="4" x14ac:dyDescent="0.2">
      <c r="A253" s="11">
        <v>177225</v>
      </c>
      <c r="B253" s="12" t="s">
        <v>493</v>
      </c>
      <c r="C253" s="12" t="s">
        <v>22</v>
      </c>
      <c r="D253" s="13"/>
      <c r="E253" s="14" t="s">
        <v>494</v>
      </c>
      <c r="F253" s="15" t="s">
        <v>24</v>
      </c>
      <c r="G253" s="16"/>
      <c r="H253" s="36">
        <v>1920.4</v>
      </c>
      <c r="I253" s="36">
        <f>ROUND(H253-(H253*I2/100),2)</f>
        <v>1920.4</v>
      </c>
      <c r="J253" s="17">
        <v>114</v>
      </c>
      <c r="K253" s="18"/>
      <c r="L253" s="18"/>
      <c r="M253" s="20"/>
      <c r="N253" s="37">
        <f t="shared" si="8"/>
        <v>0</v>
      </c>
      <c r="O253" s="18"/>
      <c r="P253" s="18"/>
    </row>
    <row r="254" spans="1:16" s="1" customFormat="1" ht="119.1" customHeight="1" outlineLevel="4" x14ac:dyDescent="0.2">
      <c r="A254" s="11">
        <v>216934</v>
      </c>
      <c r="B254" s="12" t="s">
        <v>495</v>
      </c>
      <c r="C254" s="12" t="s">
        <v>50</v>
      </c>
      <c r="D254" s="13"/>
      <c r="E254" s="14" t="s">
        <v>496</v>
      </c>
      <c r="F254" s="15" t="s">
        <v>24</v>
      </c>
      <c r="G254" s="16"/>
      <c r="H254" s="36">
        <v>1486.5</v>
      </c>
      <c r="I254" s="36">
        <f>ROUND(H254-(H254*I2/100),2)</f>
        <v>1486.5</v>
      </c>
      <c r="J254" s="17">
        <v>36</v>
      </c>
      <c r="K254" s="18"/>
      <c r="L254" s="18"/>
      <c r="M254" s="20"/>
      <c r="N254" s="37">
        <f t="shared" si="8"/>
        <v>0</v>
      </c>
      <c r="O254" s="21">
        <v>0.70799999999999996</v>
      </c>
      <c r="P254" s="22">
        <v>2.5000000000000001E-4</v>
      </c>
    </row>
    <row r="255" spans="1:16" s="8" customFormat="1" ht="15.95" customHeight="1" outlineLevel="3" x14ac:dyDescent="0.25">
      <c r="A255" s="9"/>
      <c r="B255" s="10"/>
      <c r="C255" s="10"/>
      <c r="D255" s="10" t="s">
        <v>497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s="8" customFormat="1" ht="15.95" customHeight="1" outlineLevel="4" x14ac:dyDescent="0.25">
      <c r="A256" s="9"/>
      <c r="B256" s="10"/>
      <c r="C256" s="10"/>
      <c r="D256" s="10" t="s">
        <v>498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s="1" customFormat="1" ht="119.1" customHeight="1" outlineLevel="5" x14ac:dyDescent="0.2">
      <c r="A257" s="11">
        <v>186215</v>
      </c>
      <c r="B257" s="12" t="s">
        <v>499</v>
      </c>
      <c r="C257" s="12" t="s">
        <v>22</v>
      </c>
      <c r="D257" s="13"/>
      <c r="E257" s="14" t="s">
        <v>500</v>
      </c>
      <c r="F257" s="15" t="s">
        <v>24</v>
      </c>
      <c r="G257" s="16"/>
      <c r="H257" s="36">
        <v>367.7</v>
      </c>
      <c r="I257" s="36">
        <f>ROUND(H257-(H257*I2/100),2)</f>
        <v>367.7</v>
      </c>
      <c r="J257" s="17">
        <v>118</v>
      </c>
      <c r="K257" s="18"/>
      <c r="L257" s="18"/>
      <c r="M257" s="20"/>
      <c r="N257" s="37">
        <f>I257*M257</f>
        <v>0</v>
      </c>
      <c r="O257" s="21">
        <v>0.2</v>
      </c>
      <c r="P257" s="22">
        <v>2.0000000000000001E-4</v>
      </c>
    </row>
    <row r="258" spans="1:16" s="1" customFormat="1" ht="119.1" customHeight="1" outlineLevel="5" x14ac:dyDescent="0.2">
      <c r="A258" s="11">
        <v>186218</v>
      </c>
      <c r="B258" s="12" t="s">
        <v>501</v>
      </c>
      <c r="C258" s="12" t="s">
        <v>22</v>
      </c>
      <c r="D258" s="13"/>
      <c r="E258" s="14" t="s">
        <v>502</v>
      </c>
      <c r="F258" s="15" t="s">
        <v>24</v>
      </c>
      <c r="G258" s="16"/>
      <c r="H258" s="36">
        <v>472.3</v>
      </c>
      <c r="I258" s="36">
        <f>ROUND(H258-(H258*I2/100),2)</f>
        <v>472.3</v>
      </c>
      <c r="J258" s="17">
        <v>105</v>
      </c>
      <c r="K258" s="18"/>
      <c r="L258" s="18"/>
      <c r="M258" s="20"/>
      <c r="N258" s="37">
        <f>I258*M258</f>
        <v>0</v>
      </c>
      <c r="O258" s="21">
        <v>0.2</v>
      </c>
      <c r="P258" s="22">
        <v>2.0000000000000001E-4</v>
      </c>
    </row>
    <row r="259" spans="1:16" s="1" customFormat="1" ht="119.1" customHeight="1" outlineLevel="5" x14ac:dyDescent="0.2">
      <c r="A259" s="11">
        <v>186219</v>
      </c>
      <c r="B259" s="12" t="s">
        <v>503</v>
      </c>
      <c r="C259" s="12" t="s">
        <v>22</v>
      </c>
      <c r="D259" s="13"/>
      <c r="E259" s="14" t="s">
        <v>504</v>
      </c>
      <c r="F259" s="15" t="s">
        <v>24</v>
      </c>
      <c r="G259" s="16"/>
      <c r="H259" s="36">
        <v>461.8</v>
      </c>
      <c r="I259" s="36">
        <f>ROUND(H259-(H259*I2/100),2)</f>
        <v>461.8</v>
      </c>
      <c r="J259" s="17">
        <v>71</v>
      </c>
      <c r="K259" s="18"/>
      <c r="L259" s="18"/>
      <c r="M259" s="20"/>
      <c r="N259" s="37">
        <f>I259*M259</f>
        <v>0</v>
      </c>
      <c r="O259" s="21">
        <v>0.2</v>
      </c>
      <c r="P259" s="22">
        <v>2.0000000000000001E-4</v>
      </c>
    </row>
    <row r="260" spans="1:16" s="1" customFormat="1" ht="119.1" customHeight="1" outlineLevel="5" x14ac:dyDescent="0.2">
      <c r="A260" s="11">
        <v>186222</v>
      </c>
      <c r="B260" s="12" t="s">
        <v>505</v>
      </c>
      <c r="C260" s="12" t="s">
        <v>22</v>
      </c>
      <c r="D260" s="13"/>
      <c r="E260" s="14" t="s">
        <v>506</v>
      </c>
      <c r="F260" s="15" t="s">
        <v>24</v>
      </c>
      <c r="G260" s="16"/>
      <c r="H260" s="36">
        <v>407.6</v>
      </c>
      <c r="I260" s="36">
        <f>ROUND(H260-(H260*I2/100),2)</f>
        <v>407.6</v>
      </c>
      <c r="J260" s="17">
        <v>23</v>
      </c>
      <c r="K260" s="18"/>
      <c r="L260" s="18"/>
      <c r="M260" s="20"/>
      <c r="N260" s="37">
        <f>I260*M260</f>
        <v>0</v>
      </c>
      <c r="O260" s="21">
        <v>0.3</v>
      </c>
      <c r="P260" s="22">
        <v>2.9999999999999997E-4</v>
      </c>
    </row>
    <row r="261" spans="1:16" s="8" customFormat="1" ht="15.95" customHeight="1" outlineLevel="4" x14ac:dyDescent="0.25">
      <c r="A261" s="9"/>
      <c r="B261" s="10"/>
      <c r="C261" s="10"/>
      <c r="D261" s="10" t="s">
        <v>507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s="1" customFormat="1" ht="119.1" customHeight="1" outlineLevel="5" x14ac:dyDescent="0.2">
      <c r="A262" s="11">
        <v>192233</v>
      </c>
      <c r="B262" s="12" t="s">
        <v>508</v>
      </c>
      <c r="C262" s="12" t="s">
        <v>22</v>
      </c>
      <c r="D262" s="13"/>
      <c r="E262" s="14" t="s">
        <v>509</v>
      </c>
      <c r="F262" s="15" t="s">
        <v>24</v>
      </c>
      <c r="G262" s="16"/>
      <c r="H262" s="36">
        <v>271.8</v>
      </c>
      <c r="I262" s="36">
        <f>ROUND(H262-(H262*I2/100),2)</f>
        <v>271.8</v>
      </c>
      <c r="J262" s="17">
        <v>23</v>
      </c>
      <c r="K262" s="18"/>
      <c r="L262" s="18"/>
      <c r="M262" s="20"/>
      <c r="N262" s="37">
        <f>I262*M262</f>
        <v>0</v>
      </c>
      <c r="O262" s="21">
        <v>0.44</v>
      </c>
      <c r="P262" s="22">
        <v>2.43E-4</v>
      </c>
    </row>
    <row r="263" spans="1:16" s="1" customFormat="1" ht="119.1" customHeight="1" outlineLevel="5" x14ac:dyDescent="0.2">
      <c r="A263" s="11">
        <v>180990</v>
      </c>
      <c r="B263" s="12" t="s">
        <v>510</v>
      </c>
      <c r="C263" s="12" t="s">
        <v>22</v>
      </c>
      <c r="D263" s="23"/>
      <c r="E263" s="24" t="s">
        <v>511</v>
      </c>
      <c r="F263" s="25" t="s">
        <v>24</v>
      </c>
      <c r="G263" s="26" t="s">
        <v>39</v>
      </c>
      <c r="H263" s="36">
        <v>1501.65</v>
      </c>
      <c r="I263" s="36">
        <f>H263</f>
        <v>1501.65</v>
      </c>
      <c r="J263" s="17">
        <v>7</v>
      </c>
      <c r="K263" s="18"/>
      <c r="L263" s="18"/>
      <c r="M263" s="20"/>
      <c r="N263" s="37">
        <f>I263*M263</f>
        <v>0</v>
      </c>
      <c r="O263" s="21">
        <v>1.3</v>
      </c>
      <c r="P263" s="22">
        <v>5.0000000000000001E-4</v>
      </c>
    </row>
    <row r="264" spans="1:16" s="1" customFormat="1" ht="119.1" customHeight="1" outlineLevel="5" x14ac:dyDescent="0.2">
      <c r="A264" s="11">
        <v>208987</v>
      </c>
      <c r="B264" s="12" t="s">
        <v>512</v>
      </c>
      <c r="C264" s="12" t="s">
        <v>22</v>
      </c>
      <c r="D264" s="13"/>
      <c r="E264" s="14" t="s">
        <v>513</v>
      </c>
      <c r="F264" s="15" t="s">
        <v>24</v>
      </c>
      <c r="G264" s="16"/>
      <c r="H264" s="36">
        <v>1510.7</v>
      </c>
      <c r="I264" s="36">
        <f>ROUND(H264-(H264*I2/100),2)</f>
        <v>1510.7</v>
      </c>
      <c r="J264" s="17">
        <v>17</v>
      </c>
      <c r="K264" s="18"/>
      <c r="L264" s="18"/>
      <c r="M264" s="20"/>
      <c r="N264" s="37">
        <f>I264*M264</f>
        <v>0</v>
      </c>
      <c r="O264" s="21">
        <v>0.3</v>
      </c>
      <c r="P264" s="22">
        <v>5.0000000000000001E-4</v>
      </c>
    </row>
    <row r="265" spans="1:16" s="1" customFormat="1" ht="119.1" customHeight="1" outlineLevel="5" x14ac:dyDescent="0.2">
      <c r="A265" s="11">
        <v>189967</v>
      </c>
      <c r="B265" s="12" t="s">
        <v>514</v>
      </c>
      <c r="C265" s="12" t="s">
        <v>22</v>
      </c>
      <c r="D265" s="13"/>
      <c r="E265" s="14" t="s">
        <v>515</v>
      </c>
      <c r="F265" s="15" t="s">
        <v>24</v>
      </c>
      <c r="G265" s="16"/>
      <c r="H265" s="36">
        <v>337.3</v>
      </c>
      <c r="I265" s="36">
        <f>ROUND(H265-(H265*I2/100),2)</f>
        <v>337.3</v>
      </c>
      <c r="J265" s="17">
        <v>37</v>
      </c>
      <c r="K265" s="18"/>
      <c r="L265" s="18"/>
      <c r="M265" s="20"/>
      <c r="N265" s="37">
        <f>I265*M265</f>
        <v>0</v>
      </c>
      <c r="O265" s="21">
        <v>0.5</v>
      </c>
      <c r="P265" s="22">
        <v>3.6600000000000001E-4</v>
      </c>
    </row>
    <row r="266" spans="1:16" s="1" customFormat="1" ht="119.1" customHeight="1" outlineLevel="5" x14ac:dyDescent="0.2">
      <c r="A266" s="11">
        <v>189968</v>
      </c>
      <c r="B266" s="12" t="s">
        <v>516</v>
      </c>
      <c r="C266" s="12" t="s">
        <v>22</v>
      </c>
      <c r="D266" s="13"/>
      <c r="E266" s="14" t="s">
        <v>517</v>
      </c>
      <c r="F266" s="15" t="s">
        <v>24</v>
      </c>
      <c r="G266" s="16"/>
      <c r="H266" s="36">
        <v>437</v>
      </c>
      <c r="I266" s="36">
        <f>ROUND(H266-(H266*I2/100),2)</f>
        <v>437</v>
      </c>
      <c r="J266" s="17">
        <v>2</v>
      </c>
      <c r="K266" s="18"/>
      <c r="L266" s="18"/>
      <c r="M266" s="20"/>
      <c r="N266" s="37">
        <f>I266*M266</f>
        <v>0</v>
      </c>
      <c r="O266" s="21">
        <v>0.72</v>
      </c>
      <c r="P266" s="22">
        <v>5.2899999999999996E-4</v>
      </c>
    </row>
    <row r="267" spans="1:16" s="8" customFormat="1" ht="15.95" customHeight="1" outlineLevel="4" x14ac:dyDescent="0.25">
      <c r="A267" s="9"/>
      <c r="B267" s="10"/>
      <c r="C267" s="10"/>
      <c r="D267" s="10" t="s">
        <v>518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s="1" customFormat="1" ht="119.1" customHeight="1" outlineLevel="5" x14ac:dyDescent="0.2">
      <c r="A268" s="11">
        <v>208257</v>
      </c>
      <c r="B268" s="12" t="s">
        <v>519</v>
      </c>
      <c r="C268" s="12" t="s">
        <v>22</v>
      </c>
      <c r="D268" s="13"/>
      <c r="E268" s="14" t="s">
        <v>520</v>
      </c>
      <c r="F268" s="15" t="s">
        <v>24</v>
      </c>
      <c r="G268" s="16"/>
      <c r="H268" s="36">
        <v>1007</v>
      </c>
      <c r="I268" s="36">
        <f>ROUND(H268-(H268*I2/100),2)</f>
        <v>1007</v>
      </c>
      <c r="J268" s="17">
        <v>45</v>
      </c>
      <c r="K268" s="18"/>
      <c r="L268" s="18"/>
      <c r="M268" s="20"/>
      <c r="N268" s="37">
        <f>I268*M268</f>
        <v>0</v>
      </c>
      <c r="O268" s="21">
        <v>0.59599999999999997</v>
      </c>
      <c r="P268" s="22">
        <v>8.0500000000000005E-4</v>
      </c>
    </row>
    <row r="269" spans="1:16" s="1" customFormat="1" ht="119.1" customHeight="1" outlineLevel="5" x14ac:dyDescent="0.2">
      <c r="A269" s="11">
        <v>208258</v>
      </c>
      <c r="B269" s="12" t="s">
        <v>521</v>
      </c>
      <c r="C269" s="12" t="s">
        <v>22</v>
      </c>
      <c r="D269" s="13"/>
      <c r="E269" s="14" t="s">
        <v>522</v>
      </c>
      <c r="F269" s="15" t="s">
        <v>24</v>
      </c>
      <c r="G269" s="16"/>
      <c r="H269" s="36">
        <v>1538.1</v>
      </c>
      <c r="I269" s="36">
        <f>ROUND(H269-(H269*I2/100),2)</f>
        <v>1538.1</v>
      </c>
      <c r="J269" s="17">
        <v>37</v>
      </c>
      <c r="K269" s="18"/>
      <c r="L269" s="18"/>
      <c r="M269" s="20"/>
      <c r="N269" s="37">
        <f>I269*M269</f>
        <v>0</v>
      </c>
      <c r="O269" s="21">
        <v>0.875</v>
      </c>
      <c r="P269" s="22">
        <v>9.8400000000000007E-4</v>
      </c>
    </row>
    <row r="270" spans="1:16" s="1" customFormat="1" ht="119.1" customHeight="1" outlineLevel="5" x14ac:dyDescent="0.2">
      <c r="A270" s="11">
        <v>177220</v>
      </c>
      <c r="B270" s="12" t="s">
        <v>523</v>
      </c>
      <c r="C270" s="12" t="s">
        <v>22</v>
      </c>
      <c r="D270" s="13"/>
      <c r="E270" s="14" t="s">
        <v>524</v>
      </c>
      <c r="F270" s="15" t="s">
        <v>113</v>
      </c>
      <c r="G270" s="16"/>
      <c r="H270" s="36">
        <v>355.6</v>
      </c>
      <c r="I270" s="36">
        <f>ROUND(H270-(H270*I2/100),2)</f>
        <v>355.6</v>
      </c>
      <c r="J270" s="17">
        <v>616</v>
      </c>
      <c r="K270" s="18"/>
      <c r="L270" s="18"/>
      <c r="M270" s="20"/>
      <c r="N270" s="37">
        <f>I270*M270</f>
        <v>0</v>
      </c>
      <c r="O270" s="21">
        <v>0.23799999999999999</v>
      </c>
      <c r="P270" s="22">
        <v>2.5999999999999998E-4</v>
      </c>
    </row>
    <row r="271" spans="1:16" s="1" customFormat="1" ht="119.1" customHeight="1" outlineLevel="5" x14ac:dyDescent="0.2">
      <c r="A271" s="11">
        <v>151392</v>
      </c>
      <c r="B271" s="12" t="s">
        <v>525</v>
      </c>
      <c r="C271" s="12" t="s">
        <v>22</v>
      </c>
      <c r="D271" s="13"/>
      <c r="E271" s="14" t="s">
        <v>526</v>
      </c>
      <c r="F271" s="15" t="s">
        <v>113</v>
      </c>
      <c r="G271" s="16"/>
      <c r="H271" s="36">
        <v>1033.0999999999999</v>
      </c>
      <c r="I271" s="36">
        <f>ROUND(H271-(H271*I2/100),2)</f>
        <v>1033.0999999999999</v>
      </c>
      <c r="J271" s="17">
        <v>84</v>
      </c>
      <c r="K271" s="18"/>
      <c r="L271" s="18"/>
      <c r="M271" s="20"/>
      <c r="N271" s="37">
        <f>I271*M271</f>
        <v>0</v>
      </c>
      <c r="O271" s="21">
        <v>0.70799999999999996</v>
      </c>
      <c r="P271" s="22">
        <v>4.8960000000000002E-3</v>
      </c>
    </row>
    <row r="272" spans="1:16" s="8" customFormat="1" ht="15.95" customHeight="1" outlineLevel="3" x14ac:dyDescent="0.25">
      <c r="A272" s="9"/>
      <c r="B272" s="10"/>
      <c r="C272" s="10"/>
      <c r="D272" s="10" t="s">
        <v>527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s="8" customFormat="1" ht="15.95" customHeight="1" outlineLevel="4" x14ac:dyDescent="0.25">
      <c r="A273" s="9"/>
      <c r="B273" s="10"/>
      <c r="C273" s="10"/>
      <c r="D273" s="10" t="s">
        <v>518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s="1" customFormat="1" ht="119.1" customHeight="1" outlineLevel="5" x14ac:dyDescent="0.2">
      <c r="A274" s="11">
        <v>212253</v>
      </c>
      <c r="B274" s="12" t="s">
        <v>528</v>
      </c>
      <c r="C274" s="12" t="s">
        <v>50</v>
      </c>
      <c r="D274" s="13"/>
      <c r="E274" s="14" t="s">
        <v>529</v>
      </c>
      <c r="F274" s="15" t="s">
        <v>24</v>
      </c>
      <c r="G274" s="16"/>
      <c r="H274" s="36">
        <v>1380.9</v>
      </c>
      <c r="I274" s="36">
        <f>ROUND(H274-(H274*I2/100),2)</f>
        <v>1380.9</v>
      </c>
      <c r="J274" s="17">
        <v>82</v>
      </c>
      <c r="K274" s="18"/>
      <c r="L274" s="18"/>
      <c r="M274" s="20"/>
      <c r="N274" s="37">
        <f>I274*M274</f>
        <v>0</v>
      </c>
      <c r="O274" s="21">
        <v>0.3</v>
      </c>
      <c r="P274" s="22">
        <v>2E-3</v>
      </c>
    </row>
    <row r="275" spans="1:16" s="1" customFormat="1" ht="119.1" customHeight="1" outlineLevel="5" x14ac:dyDescent="0.2">
      <c r="A275" s="11">
        <v>190225</v>
      </c>
      <c r="B275" s="12" t="s">
        <v>530</v>
      </c>
      <c r="C275" s="12" t="s">
        <v>22</v>
      </c>
      <c r="D275" s="13"/>
      <c r="E275" s="14" t="s">
        <v>531</v>
      </c>
      <c r="F275" s="15" t="s">
        <v>24</v>
      </c>
      <c r="G275" s="16"/>
      <c r="H275" s="36">
        <v>1539.2</v>
      </c>
      <c r="I275" s="36">
        <f>ROUND(H275-(H275*I2/100),2)</f>
        <v>1539.2</v>
      </c>
      <c r="J275" s="17">
        <v>55</v>
      </c>
      <c r="K275" s="18"/>
      <c r="L275" s="18"/>
      <c r="M275" s="20"/>
      <c r="N275" s="37">
        <f>I275*M275</f>
        <v>0</v>
      </c>
      <c r="O275" s="21">
        <v>0.83299999999999996</v>
      </c>
      <c r="P275" s="22">
        <v>4.5750000000000001E-3</v>
      </c>
    </row>
    <row r="276" spans="1:16" s="1" customFormat="1" ht="119.1" customHeight="1" outlineLevel="5" x14ac:dyDescent="0.2">
      <c r="A276" s="11">
        <v>151399</v>
      </c>
      <c r="B276" s="12" t="s">
        <v>532</v>
      </c>
      <c r="C276" s="12" t="s">
        <v>22</v>
      </c>
      <c r="D276" s="13"/>
      <c r="E276" s="14" t="s">
        <v>533</v>
      </c>
      <c r="F276" s="15" t="s">
        <v>113</v>
      </c>
      <c r="G276" s="16"/>
      <c r="H276" s="36">
        <v>143.5</v>
      </c>
      <c r="I276" s="36">
        <f>ROUND(H276-(H276*I2/100),2)</f>
        <v>143.5</v>
      </c>
      <c r="J276" s="17">
        <v>89</v>
      </c>
      <c r="K276" s="18"/>
      <c r="L276" s="18"/>
      <c r="M276" s="20"/>
      <c r="N276" s="37">
        <f>I276*M276</f>
        <v>0</v>
      </c>
      <c r="O276" s="21">
        <v>7.0000000000000007E-2</v>
      </c>
      <c r="P276" s="22">
        <v>1.6799999999999999E-4</v>
      </c>
    </row>
    <row r="277" spans="1:16" s="8" customFormat="1" ht="15.95" customHeight="1" outlineLevel="4" x14ac:dyDescent="0.25">
      <c r="A277" s="9"/>
      <c r="B277" s="10"/>
      <c r="C277" s="10"/>
      <c r="D277" s="10" t="s">
        <v>534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s="1" customFormat="1" ht="119.1" customHeight="1" outlineLevel="5" x14ac:dyDescent="0.2">
      <c r="A278" s="11">
        <v>188552</v>
      </c>
      <c r="B278" s="12" t="s">
        <v>535</v>
      </c>
      <c r="C278" s="12" t="s">
        <v>22</v>
      </c>
      <c r="D278" s="13"/>
      <c r="E278" s="14" t="s">
        <v>536</v>
      </c>
      <c r="F278" s="15" t="s">
        <v>24</v>
      </c>
      <c r="G278" s="16"/>
      <c r="H278" s="36">
        <v>325.7</v>
      </c>
      <c r="I278" s="36">
        <f>ROUND(H278-(H278*I2/100),2)</f>
        <v>325.7</v>
      </c>
      <c r="J278" s="17">
        <v>3</v>
      </c>
      <c r="K278" s="18"/>
      <c r="L278" s="18"/>
      <c r="M278" s="20"/>
      <c r="N278" s="37">
        <f>I278*M278</f>
        <v>0</v>
      </c>
      <c r="O278" s="21">
        <v>0.3</v>
      </c>
      <c r="P278" s="22">
        <v>2.9999999999999997E-4</v>
      </c>
    </row>
    <row r="279" spans="1:16" s="8" customFormat="1" ht="15.95" customHeight="1" outlineLevel="3" x14ac:dyDescent="0.25">
      <c r="A279" s="9"/>
      <c r="B279" s="10"/>
      <c r="C279" s="10"/>
      <c r="D279" s="10" t="s">
        <v>537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s="8" customFormat="1" ht="15.95" customHeight="1" outlineLevel="4" x14ac:dyDescent="0.25">
      <c r="A280" s="9"/>
      <c r="B280" s="10"/>
      <c r="C280" s="10"/>
      <c r="D280" s="10" t="s">
        <v>538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s="1" customFormat="1" ht="119.1" customHeight="1" outlineLevel="5" x14ac:dyDescent="0.2">
      <c r="A281" s="11">
        <v>214515</v>
      </c>
      <c r="B281" s="12" t="s">
        <v>539</v>
      </c>
      <c r="C281" s="12" t="s">
        <v>22</v>
      </c>
      <c r="D281" s="13"/>
      <c r="E281" s="14" t="s">
        <v>540</v>
      </c>
      <c r="F281" s="15" t="s">
        <v>24</v>
      </c>
      <c r="G281" s="16"/>
      <c r="H281" s="36">
        <v>188</v>
      </c>
      <c r="I281" s="36">
        <f>ROUND(H281-(H281*I2/100),2)</f>
        <v>188</v>
      </c>
      <c r="J281" s="17">
        <v>46</v>
      </c>
      <c r="K281" s="18"/>
      <c r="L281" s="18"/>
      <c r="M281" s="20"/>
      <c r="N281" s="37">
        <f>I281*M281</f>
        <v>0</v>
      </c>
      <c r="O281" s="21">
        <v>1.9E-2</v>
      </c>
      <c r="P281" s="22">
        <v>3.0000000000000001E-5</v>
      </c>
    </row>
    <row r="282" spans="1:16" s="8" customFormat="1" ht="15.95" customHeight="1" outlineLevel="3" x14ac:dyDescent="0.25">
      <c r="A282" s="9"/>
      <c r="B282" s="10"/>
      <c r="C282" s="10"/>
      <c r="D282" s="10" t="s">
        <v>541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s="8" customFormat="1" ht="15.95" customHeight="1" outlineLevel="4" x14ac:dyDescent="0.25">
      <c r="A283" s="9"/>
      <c r="B283" s="10"/>
      <c r="C283" s="10"/>
      <c r="D283" s="10" t="s">
        <v>518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s="1" customFormat="1" ht="119.1" customHeight="1" outlineLevel="5" x14ac:dyDescent="0.2">
      <c r="A284" s="11">
        <v>197328</v>
      </c>
      <c r="B284" s="12" t="s">
        <v>542</v>
      </c>
      <c r="C284" s="12" t="s">
        <v>50</v>
      </c>
      <c r="D284" s="13"/>
      <c r="E284" s="14" t="s">
        <v>543</v>
      </c>
      <c r="F284" s="15" t="s">
        <v>24</v>
      </c>
      <c r="G284" s="16"/>
      <c r="H284" s="36">
        <v>1620.4</v>
      </c>
      <c r="I284" s="36">
        <f>ROUND(H284-(H284*I2/100),2)</f>
        <v>1620.4</v>
      </c>
      <c r="J284" s="17">
        <v>14</v>
      </c>
      <c r="K284" s="18"/>
      <c r="L284" s="18"/>
      <c r="M284" s="20"/>
      <c r="N284" s="37">
        <f t="shared" ref="N284:N290" si="9">I284*M284</f>
        <v>0</v>
      </c>
      <c r="O284" s="21">
        <v>0.56699999999999995</v>
      </c>
      <c r="P284" s="22">
        <v>4.3199999999999998E-4</v>
      </c>
    </row>
    <row r="285" spans="1:16" s="1" customFormat="1" ht="119.1" customHeight="1" outlineLevel="5" x14ac:dyDescent="0.2">
      <c r="A285" s="11">
        <v>196283</v>
      </c>
      <c r="B285" s="12" t="s">
        <v>544</v>
      </c>
      <c r="C285" s="12" t="s">
        <v>50</v>
      </c>
      <c r="D285" s="13"/>
      <c r="E285" s="14" t="s">
        <v>545</v>
      </c>
      <c r="F285" s="15" t="s">
        <v>24</v>
      </c>
      <c r="G285" s="16"/>
      <c r="H285" s="36">
        <v>2293.9</v>
      </c>
      <c r="I285" s="36">
        <f>ROUND(H285-(H285*I2/100),2)</f>
        <v>2293.9</v>
      </c>
      <c r="J285" s="17">
        <v>30</v>
      </c>
      <c r="K285" s="18"/>
      <c r="L285" s="18"/>
      <c r="M285" s="20"/>
      <c r="N285" s="37">
        <f t="shared" si="9"/>
        <v>0</v>
      </c>
      <c r="O285" s="21">
        <v>0.96899999999999997</v>
      </c>
      <c r="P285" s="22">
        <v>8.8000000000000003E-4</v>
      </c>
    </row>
    <row r="286" spans="1:16" s="1" customFormat="1" ht="119.1" customHeight="1" outlineLevel="5" x14ac:dyDescent="0.2">
      <c r="A286" s="11">
        <v>192257</v>
      </c>
      <c r="B286" s="12" t="s">
        <v>546</v>
      </c>
      <c r="C286" s="12" t="s">
        <v>22</v>
      </c>
      <c r="D286" s="13"/>
      <c r="E286" s="14" t="s">
        <v>547</v>
      </c>
      <c r="F286" s="15" t="s">
        <v>113</v>
      </c>
      <c r="G286" s="16"/>
      <c r="H286" s="36">
        <v>245.1</v>
      </c>
      <c r="I286" s="36">
        <f>ROUND(H286-(H286*I2/100),2)</f>
        <v>245.1</v>
      </c>
      <c r="J286" s="17">
        <v>155</v>
      </c>
      <c r="K286" s="18"/>
      <c r="L286" s="18"/>
      <c r="M286" s="20"/>
      <c r="N286" s="37">
        <f t="shared" si="9"/>
        <v>0</v>
      </c>
      <c r="O286" s="21">
        <v>0.104</v>
      </c>
      <c r="P286" s="22">
        <v>2.5000000000000001E-4</v>
      </c>
    </row>
    <row r="287" spans="1:16" s="1" customFormat="1" ht="119.1" customHeight="1" outlineLevel="5" x14ac:dyDescent="0.2">
      <c r="A287" s="11">
        <v>215901</v>
      </c>
      <c r="B287" s="12" t="s">
        <v>548</v>
      </c>
      <c r="C287" s="12" t="s">
        <v>22</v>
      </c>
      <c r="D287" s="13"/>
      <c r="E287" s="14" t="s">
        <v>549</v>
      </c>
      <c r="F287" s="15" t="s">
        <v>113</v>
      </c>
      <c r="G287" s="16"/>
      <c r="H287" s="36">
        <v>2227.6</v>
      </c>
      <c r="I287" s="36">
        <f>ROUND(H287-(H287*I2/100),2)</f>
        <v>2227.6</v>
      </c>
      <c r="J287" s="17">
        <v>148</v>
      </c>
      <c r="K287" s="18"/>
      <c r="L287" s="18"/>
      <c r="M287" s="20"/>
      <c r="N287" s="37">
        <f t="shared" si="9"/>
        <v>0</v>
      </c>
      <c r="O287" s="21">
        <v>0.3</v>
      </c>
      <c r="P287" s="22">
        <v>2.9999999999999997E-4</v>
      </c>
    </row>
    <row r="288" spans="1:16" s="1" customFormat="1" ht="119.1" customHeight="1" outlineLevel="5" x14ac:dyDescent="0.2">
      <c r="A288" s="11">
        <v>206458</v>
      </c>
      <c r="B288" s="12" t="s">
        <v>550</v>
      </c>
      <c r="C288" s="12" t="s">
        <v>22</v>
      </c>
      <c r="D288" s="13"/>
      <c r="E288" s="14" t="s">
        <v>551</v>
      </c>
      <c r="F288" s="15" t="s">
        <v>113</v>
      </c>
      <c r="G288" s="16"/>
      <c r="H288" s="36">
        <v>1747.2</v>
      </c>
      <c r="I288" s="36">
        <f>ROUND(H288-(H288*I2/100),2)</f>
        <v>1747.2</v>
      </c>
      <c r="J288" s="17">
        <v>47</v>
      </c>
      <c r="K288" s="18"/>
      <c r="L288" s="18"/>
      <c r="M288" s="20"/>
      <c r="N288" s="37">
        <f t="shared" si="9"/>
        <v>0</v>
      </c>
      <c r="O288" s="21">
        <v>0.5</v>
      </c>
      <c r="P288" s="22">
        <v>1.482E-3</v>
      </c>
    </row>
    <row r="289" spans="1:16" s="1" customFormat="1" ht="119.1" customHeight="1" outlineLevel="5" x14ac:dyDescent="0.2">
      <c r="A289" s="11">
        <v>216941</v>
      </c>
      <c r="B289" s="12" t="s">
        <v>552</v>
      </c>
      <c r="C289" s="12" t="s">
        <v>50</v>
      </c>
      <c r="D289" s="13"/>
      <c r="E289" s="14" t="s">
        <v>553</v>
      </c>
      <c r="F289" s="15" t="s">
        <v>24</v>
      </c>
      <c r="G289" s="16"/>
      <c r="H289" s="36">
        <v>267.3</v>
      </c>
      <c r="I289" s="36">
        <f>ROUND(H289-(H289*I2/100),2)</f>
        <v>267.3</v>
      </c>
      <c r="J289" s="17">
        <v>10</v>
      </c>
      <c r="K289" s="18"/>
      <c r="L289" s="18"/>
      <c r="M289" s="20"/>
      <c r="N289" s="37">
        <f t="shared" si="9"/>
        <v>0</v>
      </c>
      <c r="O289" s="21">
        <v>0.11</v>
      </c>
      <c r="P289" s="22">
        <v>2.4800000000000001E-4</v>
      </c>
    </row>
    <row r="290" spans="1:16" s="1" customFormat="1" ht="119.1" customHeight="1" outlineLevel="5" x14ac:dyDescent="0.2">
      <c r="A290" s="11">
        <v>199653</v>
      </c>
      <c r="B290" s="12" t="s">
        <v>554</v>
      </c>
      <c r="C290" s="12" t="s">
        <v>22</v>
      </c>
      <c r="D290" s="13"/>
      <c r="E290" s="14" t="s">
        <v>555</v>
      </c>
      <c r="F290" s="15" t="s">
        <v>24</v>
      </c>
      <c r="G290" s="16"/>
      <c r="H290" s="36">
        <v>478.8</v>
      </c>
      <c r="I290" s="36">
        <f>ROUND(H290-(H290*I2/100),2)</f>
        <v>478.8</v>
      </c>
      <c r="J290" s="17">
        <v>49</v>
      </c>
      <c r="K290" s="18"/>
      <c r="L290" s="18"/>
      <c r="M290" s="20"/>
      <c r="N290" s="37">
        <f t="shared" si="9"/>
        <v>0</v>
      </c>
      <c r="O290" s="21">
        <v>0.4</v>
      </c>
      <c r="P290" s="22">
        <v>1E-3</v>
      </c>
    </row>
    <row r="291" spans="1:16" s="8" customFormat="1" ht="15.95" customHeight="1" outlineLevel="4" x14ac:dyDescent="0.25">
      <c r="A291" s="9"/>
      <c r="B291" s="10"/>
      <c r="C291" s="10"/>
      <c r="D291" s="10" t="s">
        <v>538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s="1" customFormat="1" ht="119.1" customHeight="1" outlineLevel="5" x14ac:dyDescent="0.2">
      <c r="A292" s="11">
        <v>186230</v>
      </c>
      <c r="B292" s="12" t="s">
        <v>556</v>
      </c>
      <c r="C292" s="12" t="s">
        <v>22</v>
      </c>
      <c r="D292" s="13"/>
      <c r="E292" s="14" t="s">
        <v>557</v>
      </c>
      <c r="F292" s="15" t="s">
        <v>24</v>
      </c>
      <c r="G292" s="16"/>
      <c r="H292" s="36">
        <v>65.2</v>
      </c>
      <c r="I292" s="36">
        <f>ROUND(H292-(H292*I2/100),2)</f>
        <v>65.2</v>
      </c>
      <c r="J292" s="17">
        <v>213</v>
      </c>
      <c r="K292" s="18"/>
      <c r="L292" s="18"/>
      <c r="M292" s="20"/>
      <c r="N292" s="37">
        <f>I292*M292</f>
        <v>0</v>
      </c>
      <c r="O292" s="21">
        <v>0.2</v>
      </c>
      <c r="P292" s="22">
        <v>2.0000000000000001E-4</v>
      </c>
    </row>
    <row r="293" spans="1:16" s="1" customFormat="1" ht="119.1" customHeight="1" outlineLevel="5" x14ac:dyDescent="0.2">
      <c r="A293" s="11">
        <v>186225</v>
      </c>
      <c r="B293" s="12" t="s">
        <v>558</v>
      </c>
      <c r="C293" s="12" t="s">
        <v>22</v>
      </c>
      <c r="D293" s="13"/>
      <c r="E293" s="14" t="s">
        <v>559</v>
      </c>
      <c r="F293" s="15" t="s">
        <v>24</v>
      </c>
      <c r="G293" s="16"/>
      <c r="H293" s="36">
        <v>477.8</v>
      </c>
      <c r="I293" s="36">
        <f>ROUND(H293-(H293*I2/100),2)</f>
        <v>477.8</v>
      </c>
      <c r="J293" s="17">
        <v>155</v>
      </c>
      <c r="K293" s="18"/>
      <c r="L293" s="18"/>
      <c r="M293" s="20"/>
      <c r="N293" s="37">
        <f>I293*M293</f>
        <v>0</v>
      </c>
      <c r="O293" s="21">
        <v>0.3</v>
      </c>
      <c r="P293" s="22">
        <v>2.9999999999999997E-4</v>
      </c>
    </row>
    <row r="294" spans="1:16" s="8" customFormat="1" ht="15.95" customHeight="1" outlineLevel="4" x14ac:dyDescent="0.25">
      <c r="A294" s="9"/>
      <c r="B294" s="10"/>
      <c r="C294" s="10"/>
      <c r="D294" s="10" t="s">
        <v>560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s="1" customFormat="1" ht="119.1" customHeight="1" outlineLevel="5" x14ac:dyDescent="0.2">
      <c r="A295" s="11">
        <v>208677</v>
      </c>
      <c r="B295" s="12" t="s">
        <v>561</v>
      </c>
      <c r="C295" s="12" t="s">
        <v>22</v>
      </c>
      <c r="D295" s="13"/>
      <c r="E295" s="14" t="s">
        <v>562</v>
      </c>
      <c r="F295" s="15" t="s">
        <v>24</v>
      </c>
      <c r="G295" s="16"/>
      <c r="H295" s="36">
        <v>1601.4</v>
      </c>
      <c r="I295" s="36">
        <f>ROUND(H295-(H295*I2/100),2)</f>
        <v>1601.4</v>
      </c>
      <c r="J295" s="17">
        <v>32</v>
      </c>
      <c r="K295" s="18"/>
      <c r="L295" s="18"/>
      <c r="M295" s="20"/>
      <c r="N295" s="37">
        <f>I295*M295</f>
        <v>0</v>
      </c>
      <c r="O295" s="21">
        <v>0.3</v>
      </c>
      <c r="P295" s="22">
        <v>5.0000000000000001E-4</v>
      </c>
    </row>
    <row r="296" spans="1:16" s="1" customFormat="1" ht="119.1" customHeight="1" outlineLevel="5" x14ac:dyDescent="0.2">
      <c r="A296" s="11">
        <v>196211</v>
      </c>
      <c r="B296" s="12" t="s">
        <v>563</v>
      </c>
      <c r="C296" s="12" t="s">
        <v>22</v>
      </c>
      <c r="D296" s="13"/>
      <c r="E296" s="14" t="s">
        <v>564</v>
      </c>
      <c r="F296" s="15" t="s">
        <v>24</v>
      </c>
      <c r="G296" s="16"/>
      <c r="H296" s="36">
        <v>512.70000000000005</v>
      </c>
      <c r="I296" s="36">
        <f>ROUND(H296-(H296*I2/100),2)</f>
        <v>512.70000000000005</v>
      </c>
      <c r="J296" s="17">
        <v>64</v>
      </c>
      <c r="K296" s="18"/>
      <c r="L296" s="18"/>
      <c r="M296" s="20"/>
      <c r="N296" s="37">
        <f>I296*M296</f>
        <v>0</v>
      </c>
      <c r="O296" s="21">
        <v>6.9000000000000006E-2</v>
      </c>
      <c r="P296" s="22">
        <v>7.4999999999999993E-5</v>
      </c>
    </row>
    <row r="297" spans="1:16" s="8" customFormat="1" ht="15.95" customHeight="1" outlineLevel="2" x14ac:dyDescent="0.25">
      <c r="A297" s="9"/>
      <c r="B297" s="10"/>
      <c r="C297" s="10"/>
      <c r="D297" s="10" t="s">
        <v>565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s="8" customFormat="1" ht="15.95" customHeight="1" outlineLevel="3" x14ac:dyDescent="0.25">
      <c r="A298" s="9"/>
      <c r="B298" s="10"/>
      <c r="C298" s="10"/>
      <c r="D298" s="10" t="s">
        <v>566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s="1" customFormat="1" ht="119.1" customHeight="1" outlineLevel="4" x14ac:dyDescent="0.2">
      <c r="A299" s="11">
        <v>219987</v>
      </c>
      <c r="B299" s="12" t="s">
        <v>567</v>
      </c>
      <c r="C299" s="12" t="s">
        <v>50</v>
      </c>
      <c r="D299" s="28"/>
      <c r="E299" s="29" t="s">
        <v>568</v>
      </c>
      <c r="F299" s="30" t="s">
        <v>24</v>
      </c>
      <c r="G299" s="31" t="s">
        <v>209</v>
      </c>
      <c r="H299" s="36">
        <v>232.3</v>
      </c>
      <c r="I299" s="36">
        <f>ROUND(H299-(H299*I2/100),2)</f>
        <v>232.3</v>
      </c>
      <c r="J299" s="17">
        <v>922</v>
      </c>
      <c r="K299" s="18"/>
      <c r="L299" s="18"/>
      <c r="M299" s="20"/>
      <c r="N299" s="37">
        <f>I299*M299</f>
        <v>0</v>
      </c>
      <c r="O299" s="21">
        <v>0.19900000000000001</v>
      </c>
      <c r="P299" s="22">
        <v>7.8200000000000003E-4</v>
      </c>
    </row>
    <row r="300" spans="1:16" s="1" customFormat="1" ht="119.1" customHeight="1" outlineLevel="4" x14ac:dyDescent="0.2">
      <c r="A300" s="11">
        <v>204166</v>
      </c>
      <c r="B300" s="12" t="s">
        <v>569</v>
      </c>
      <c r="C300" s="12" t="s">
        <v>50</v>
      </c>
      <c r="D300" s="13"/>
      <c r="E300" s="14" t="s">
        <v>570</v>
      </c>
      <c r="F300" s="15" t="s">
        <v>24</v>
      </c>
      <c r="G300" s="16"/>
      <c r="H300" s="36">
        <v>52.2</v>
      </c>
      <c r="I300" s="36">
        <f>ROUND(H300-(H300*I2/100),2)</f>
        <v>52.2</v>
      </c>
      <c r="J300" s="27">
        <v>1975</v>
      </c>
      <c r="K300" s="18"/>
      <c r="L300" s="18"/>
      <c r="M300" s="20"/>
      <c r="N300" s="37">
        <f>I300*M300</f>
        <v>0</v>
      </c>
      <c r="O300" s="21">
        <v>0.1</v>
      </c>
      <c r="P300" s="22">
        <v>2.0000000000000001E-4</v>
      </c>
    </row>
    <row r="301" spans="1:16" s="1" customFormat="1" ht="119.1" customHeight="1" outlineLevel="4" x14ac:dyDescent="0.2">
      <c r="A301" s="11">
        <v>200298</v>
      </c>
      <c r="B301" s="12" t="s">
        <v>571</v>
      </c>
      <c r="C301" s="12" t="s">
        <v>50</v>
      </c>
      <c r="D301" s="13"/>
      <c r="E301" s="14" t="s">
        <v>572</v>
      </c>
      <c r="F301" s="15" t="s">
        <v>24</v>
      </c>
      <c r="G301" s="16"/>
      <c r="H301" s="36">
        <v>86.6</v>
      </c>
      <c r="I301" s="36">
        <f>ROUND(H301-(H301*I2/100),2)</f>
        <v>86.6</v>
      </c>
      <c r="J301" s="27">
        <v>2285</v>
      </c>
      <c r="K301" s="18"/>
      <c r="L301" s="18"/>
      <c r="M301" s="20"/>
      <c r="N301" s="37">
        <f>I301*M301</f>
        <v>0</v>
      </c>
      <c r="O301" s="21">
        <v>5.8000000000000003E-2</v>
      </c>
      <c r="P301" s="22">
        <v>3.4000000000000002E-4</v>
      </c>
    </row>
    <row r="302" spans="1:16" s="1" customFormat="1" ht="119.1" customHeight="1" outlineLevel="4" x14ac:dyDescent="0.2">
      <c r="A302" s="11">
        <v>200299</v>
      </c>
      <c r="B302" s="12" t="s">
        <v>573</v>
      </c>
      <c r="C302" s="12" t="s">
        <v>50</v>
      </c>
      <c r="D302" s="13"/>
      <c r="E302" s="14" t="s">
        <v>574</v>
      </c>
      <c r="F302" s="15" t="s">
        <v>24</v>
      </c>
      <c r="G302" s="16"/>
      <c r="H302" s="36">
        <v>95.5</v>
      </c>
      <c r="I302" s="36">
        <f>ROUND(H302-(H302*I2/100),2)</f>
        <v>95.5</v>
      </c>
      <c r="J302" s="27">
        <v>1934</v>
      </c>
      <c r="K302" s="18"/>
      <c r="L302" s="18"/>
      <c r="M302" s="20"/>
      <c r="N302" s="37">
        <f>I302*M302</f>
        <v>0</v>
      </c>
      <c r="O302" s="21">
        <v>7.0000000000000007E-2</v>
      </c>
      <c r="P302" s="22">
        <v>4.06E-4</v>
      </c>
    </row>
    <row r="303" spans="1:16" s="1" customFormat="1" ht="119.1" customHeight="1" outlineLevel="4" x14ac:dyDescent="0.2">
      <c r="A303" s="11">
        <v>200297</v>
      </c>
      <c r="B303" s="12" t="s">
        <v>575</v>
      </c>
      <c r="C303" s="12" t="s">
        <v>50</v>
      </c>
      <c r="D303" s="13"/>
      <c r="E303" s="14" t="s">
        <v>576</v>
      </c>
      <c r="F303" s="15" t="s">
        <v>24</v>
      </c>
      <c r="G303" s="16"/>
      <c r="H303" s="36">
        <v>55.7</v>
      </c>
      <c r="I303" s="36">
        <f>ROUND(H303-(H303*I2/100),2)</f>
        <v>55.7</v>
      </c>
      <c r="J303" s="27">
        <v>2999</v>
      </c>
      <c r="K303" s="18"/>
      <c r="L303" s="18"/>
      <c r="M303" s="20"/>
      <c r="N303" s="37">
        <f>I303*M303</f>
        <v>0</v>
      </c>
      <c r="O303" s="21">
        <v>1.7000000000000001E-2</v>
      </c>
      <c r="P303" s="22">
        <v>6.0000000000000002E-5</v>
      </c>
    </row>
    <row r="304" spans="1:16" s="8" customFormat="1" ht="15.95" customHeight="1" outlineLevel="2" x14ac:dyDescent="0.25">
      <c r="A304" s="9"/>
      <c r="B304" s="10"/>
      <c r="C304" s="10"/>
      <c r="D304" s="10" t="s">
        <v>577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s="1" customFormat="1" ht="119.1" customHeight="1" outlineLevel="3" x14ac:dyDescent="0.2">
      <c r="A305" s="11">
        <v>219286</v>
      </c>
      <c r="B305" s="12" t="s">
        <v>578</v>
      </c>
      <c r="C305" s="12" t="s">
        <v>22</v>
      </c>
      <c r="D305" s="13"/>
      <c r="E305" s="14" t="s">
        <v>579</v>
      </c>
      <c r="F305" s="15" t="s">
        <v>113</v>
      </c>
      <c r="G305" s="16"/>
      <c r="H305" s="36">
        <v>228.7</v>
      </c>
      <c r="I305" s="36">
        <f>ROUND(H305-(H305*I2/100),2)</f>
        <v>228.7</v>
      </c>
      <c r="J305" s="17">
        <v>948</v>
      </c>
      <c r="K305" s="18"/>
      <c r="L305" s="18"/>
      <c r="M305" s="20"/>
      <c r="N305" s="37">
        <f t="shared" ref="N305:N319" si="10">I305*M305</f>
        <v>0</v>
      </c>
      <c r="O305" s="21">
        <v>0.2</v>
      </c>
      <c r="P305" s="22">
        <v>2E-3</v>
      </c>
    </row>
    <row r="306" spans="1:16" s="1" customFormat="1" ht="119.1" customHeight="1" outlineLevel="3" x14ac:dyDescent="0.2">
      <c r="A306" s="11">
        <v>197306</v>
      </c>
      <c r="B306" s="12" t="s">
        <v>580</v>
      </c>
      <c r="C306" s="12" t="s">
        <v>50</v>
      </c>
      <c r="D306" s="13"/>
      <c r="E306" s="14" t="s">
        <v>581</v>
      </c>
      <c r="F306" s="15" t="s">
        <v>24</v>
      </c>
      <c r="G306" s="16"/>
      <c r="H306" s="36">
        <v>162.80000000000001</v>
      </c>
      <c r="I306" s="36">
        <f>ROUND(H306-(H306*I2/100),2)</f>
        <v>162.80000000000001</v>
      </c>
      <c r="J306" s="17">
        <v>302</v>
      </c>
      <c r="K306" s="18"/>
      <c r="L306" s="18"/>
      <c r="M306" s="20"/>
      <c r="N306" s="37">
        <f t="shared" si="10"/>
        <v>0</v>
      </c>
      <c r="O306" s="21">
        <v>5.0999999999999997E-2</v>
      </c>
      <c r="P306" s="22">
        <v>2.7E-4</v>
      </c>
    </row>
    <row r="307" spans="1:16" s="1" customFormat="1" ht="119.1" customHeight="1" outlineLevel="3" x14ac:dyDescent="0.2">
      <c r="A307" s="11">
        <v>188545</v>
      </c>
      <c r="B307" s="12" t="s">
        <v>582</v>
      </c>
      <c r="C307" s="12" t="s">
        <v>22</v>
      </c>
      <c r="D307" s="13"/>
      <c r="E307" s="14" t="s">
        <v>583</v>
      </c>
      <c r="F307" s="15" t="s">
        <v>113</v>
      </c>
      <c r="G307" s="16"/>
      <c r="H307" s="36">
        <v>60.8</v>
      </c>
      <c r="I307" s="36">
        <f>ROUND(H307-(H307*I2/100),2)</f>
        <v>60.8</v>
      </c>
      <c r="J307" s="27">
        <v>1506</v>
      </c>
      <c r="K307" s="18"/>
      <c r="L307" s="18"/>
      <c r="M307" s="20"/>
      <c r="N307" s="37">
        <f t="shared" si="10"/>
        <v>0</v>
      </c>
      <c r="O307" s="21">
        <v>0.08</v>
      </c>
      <c r="P307" s="22">
        <v>5.1999999999999997E-5</v>
      </c>
    </row>
    <row r="308" spans="1:16" s="1" customFormat="1" ht="119.1" customHeight="1" outlineLevel="3" x14ac:dyDescent="0.2">
      <c r="A308" s="11">
        <v>196180</v>
      </c>
      <c r="B308" s="12" t="s">
        <v>584</v>
      </c>
      <c r="C308" s="12" t="s">
        <v>22</v>
      </c>
      <c r="D308" s="13"/>
      <c r="E308" s="14" t="s">
        <v>585</v>
      </c>
      <c r="F308" s="15" t="s">
        <v>24</v>
      </c>
      <c r="G308" s="16"/>
      <c r="H308" s="36">
        <v>73.599999999999994</v>
      </c>
      <c r="I308" s="36">
        <f>ROUND(H308-(H308*I2/100),2)</f>
        <v>73.599999999999994</v>
      </c>
      <c r="J308" s="27">
        <v>1526</v>
      </c>
      <c r="K308" s="18"/>
      <c r="L308" s="18"/>
      <c r="M308" s="20"/>
      <c r="N308" s="37">
        <f t="shared" si="10"/>
        <v>0</v>
      </c>
      <c r="O308" s="21">
        <v>0.125</v>
      </c>
      <c r="P308" s="22">
        <v>7.3999999999999996E-5</v>
      </c>
    </row>
    <row r="309" spans="1:16" s="1" customFormat="1" ht="119.1" customHeight="1" outlineLevel="3" x14ac:dyDescent="0.2">
      <c r="A309" s="11">
        <v>156986</v>
      </c>
      <c r="B309" s="12" t="s">
        <v>586</v>
      </c>
      <c r="C309" s="12" t="s">
        <v>22</v>
      </c>
      <c r="D309" s="13"/>
      <c r="E309" s="14" t="s">
        <v>587</v>
      </c>
      <c r="F309" s="15" t="s">
        <v>113</v>
      </c>
      <c r="G309" s="16"/>
      <c r="H309" s="36">
        <v>67.5</v>
      </c>
      <c r="I309" s="36">
        <f>ROUND(H309-(H309*I2/100),2)</f>
        <v>67.5</v>
      </c>
      <c r="J309" s="27">
        <v>3682</v>
      </c>
      <c r="K309" s="18"/>
      <c r="L309" s="18"/>
      <c r="M309" s="20"/>
      <c r="N309" s="37">
        <f t="shared" si="10"/>
        <v>0</v>
      </c>
      <c r="O309" s="21">
        <v>0.09</v>
      </c>
      <c r="P309" s="22">
        <v>6.3E-5</v>
      </c>
    </row>
    <row r="310" spans="1:16" s="1" customFormat="1" ht="119.1" customHeight="1" outlineLevel="3" x14ac:dyDescent="0.2">
      <c r="A310" s="11">
        <v>156987</v>
      </c>
      <c r="B310" s="12" t="s">
        <v>588</v>
      </c>
      <c r="C310" s="12" t="s">
        <v>22</v>
      </c>
      <c r="D310" s="13"/>
      <c r="E310" s="14" t="s">
        <v>589</v>
      </c>
      <c r="F310" s="15" t="s">
        <v>113</v>
      </c>
      <c r="G310" s="16"/>
      <c r="H310" s="36">
        <v>81.7</v>
      </c>
      <c r="I310" s="36">
        <f>ROUND(H310-(H310*I2/100),2)</f>
        <v>81.7</v>
      </c>
      <c r="J310" s="27">
        <v>5346</v>
      </c>
      <c r="K310" s="18"/>
      <c r="L310" s="18"/>
      <c r="M310" s="20"/>
      <c r="N310" s="37">
        <f t="shared" si="10"/>
        <v>0</v>
      </c>
      <c r="O310" s="21">
        <v>0.14799999999999999</v>
      </c>
      <c r="P310" s="22">
        <v>8.8999999999999995E-5</v>
      </c>
    </row>
    <row r="311" spans="1:16" s="1" customFormat="1" ht="119.1" customHeight="1" outlineLevel="3" x14ac:dyDescent="0.2">
      <c r="A311" s="11">
        <v>196179</v>
      </c>
      <c r="B311" s="12" t="s">
        <v>590</v>
      </c>
      <c r="C311" s="12" t="s">
        <v>22</v>
      </c>
      <c r="D311" s="13"/>
      <c r="E311" s="14" t="s">
        <v>591</v>
      </c>
      <c r="F311" s="15" t="s">
        <v>113</v>
      </c>
      <c r="G311" s="16"/>
      <c r="H311" s="36">
        <v>69.8</v>
      </c>
      <c r="I311" s="36">
        <f>ROUND(H311-(H311*I2/100),2)</f>
        <v>69.8</v>
      </c>
      <c r="J311" s="27">
        <v>5016</v>
      </c>
      <c r="K311" s="18"/>
      <c r="L311" s="18"/>
      <c r="M311" s="20"/>
      <c r="N311" s="37">
        <f t="shared" si="10"/>
        <v>0</v>
      </c>
      <c r="O311" s="21">
        <v>0.10100000000000001</v>
      </c>
      <c r="P311" s="22">
        <v>7.3999999999999996E-5</v>
      </c>
    </row>
    <row r="312" spans="1:16" s="1" customFormat="1" ht="119.1" customHeight="1" outlineLevel="3" x14ac:dyDescent="0.2">
      <c r="A312" s="11">
        <v>196181</v>
      </c>
      <c r="B312" s="12" t="s">
        <v>592</v>
      </c>
      <c r="C312" s="12" t="s">
        <v>22</v>
      </c>
      <c r="D312" s="13"/>
      <c r="E312" s="14" t="s">
        <v>593</v>
      </c>
      <c r="F312" s="15" t="s">
        <v>24</v>
      </c>
      <c r="G312" s="16"/>
      <c r="H312" s="36">
        <v>94.8</v>
      </c>
      <c r="I312" s="36">
        <f>ROUND(H312-(H312*I2/100),2)</f>
        <v>94.8</v>
      </c>
      <c r="J312" s="27">
        <v>4118</v>
      </c>
      <c r="K312" s="18"/>
      <c r="L312" s="18"/>
      <c r="M312" s="20"/>
      <c r="N312" s="37">
        <f t="shared" si="10"/>
        <v>0</v>
      </c>
      <c r="O312" s="21">
        <v>0.16400000000000001</v>
      </c>
      <c r="P312" s="22">
        <v>1.0399999999999999E-4</v>
      </c>
    </row>
    <row r="313" spans="1:16" s="1" customFormat="1" ht="119.1" customHeight="1" outlineLevel="3" x14ac:dyDescent="0.2">
      <c r="A313" s="11">
        <v>219287</v>
      </c>
      <c r="B313" s="12" t="s">
        <v>594</v>
      </c>
      <c r="C313" s="12" t="s">
        <v>22</v>
      </c>
      <c r="D313" s="13"/>
      <c r="E313" s="14" t="s">
        <v>595</v>
      </c>
      <c r="F313" s="15" t="s">
        <v>113</v>
      </c>
      <c r="G313" s="16"/>
      <c r="H313" s="36">
        <v>93.8</v>
      </c>
      <c r="I313" s="36">
        <f>ROUND(H313-(H313*I2/100),2)</f>
        <v>93.8</v>
      </c>
      <c r="J313" s="17">
        <v>764</v>
      </c>
      <c r="K313" s="18"/>
      <c r="L313" s="18"/>
      <c r="M313" s="20"/>
      <c r="N313" s="37">
        <f t="shared" si="10"/>
        <v>0</v>
      </c>
      <c r="O313" s="21">
        <v>0.2</v>
      </c>
      <c r="P313" s="22">
        <v>2E-3</v>
      </c>
    </row>
    <row r="314" spans="1:16" s="1" customFormat="1" ht="119.1" customHeight="1" outlineLevel="3" x14ac:dyDescent="0.2">
      <c r="A314" s="11">
        <v>197317</v>
      </c>
      <c r="B314" s="12" t="s">
        <v>596</v>
      </c>
      <c r="C314" s="12" t="s">
        <v>50</v>
      </c>
      <c r="D314" s="13"/>
      <c r="E314" s="14" t="s">
        <v>597</v>
      </c>
      <c r="F314" s="15" t="s">
        <v>24</v>
      </c>
      <c r="G314" s="16"/>
      <c r="H314" s="36">
        <v>322.60000000000002</v>
      </c>
      <c r="I314" s="36">
        <f>ROUND(H314-(H314*I2/100),2)</f>
        <v>322.60000000000002</v>
      </c>
      <c r="J314" s="27">
        <v>1633</v>
      </c>
      <c r="K314" s="18"/>
      <c r="L314" s="18"/>
      <c r="M314" s="20"/>
      <c r="N314" s="37">
        <f t="shared" si="10"/>
        <v>0</v>
      </c>
      <c r="O314" s="21">
        <v>0.43</v>
      </c>
      <c r="P314" s="22">
        <v>8.7100000000000003E-4</v>
      </c>
    </row>
    <row r="315" spans="1:16" s="1" customFormat="1" ht="119.1" customHeight="1" outlineLevel="3" x14ac:dyDescent="0.2">
      <c r="A315" s="11">
        <v>171486</v>
      </c>
      <c r="B315" s="12" t="s">
        <v>598</v>
      </c>
      <c r="C315" s="12" t="s">
        <v>22</v>
      </c>
      <c r="D315" s="13"/>
      <c r="E315" s="14" t="s">
        <v>599</v>
      </c>
      <c r="F315" s="15" t="s">
        <v>24</v>
      </c>
      <c r="G315" s="16"/>
      <c r="H315" s="36">
        <v>586.1</v>
      </c>
      <c r="I315" s="36">
        <f>ROUND(H315-(H315*I2/100),2)</f>
        <v>586.1</v>
      </c>
      <c r="J315" s="17">
        <v>329</v>
      </c>
      <c r="K315" s="18"/>
      <c r="L315" s="18"/>
      <c r="M315" s="20"/>
      <c r="N315" s="37">
        <f t="shared" si="10"/>
        <v>0</v>
      </c>
      <c r="O315" s="21">
        <v>0.55000000000000004</v>
      </c>
      <c r="P315" s="22">
        <v>1.4E-3</v>
      </c>
    </row>
    <row r="316" spans="1:16" s="1" customFormat="1" ht="119.1" customHeight="1" outlineLevel="3" x14ac:dyDescent="0.2">
      <c r="A316" s="11">
        <v>191254</v>
      </c>
      <c r="B316" s="12" t="s">
        <v>600</v>
      </c>
      <c r="C316" s="12" t="s">
        <v>22</v>
      </c>
      <c r="D316" s="13"/>
      <c r="E316" s="14" t="s">
        <v>601</v>
      </c>
      <c r="F316" s="15" t="s">
        <v>24</v>
      </c>
      <c r="G316" s="16"/>
      <c r="H316" s="36">
        <v>1071.0999999999999</v>
      </c>
      <c r="I316" s="36">
        <f>ROUND(H316-(H316*I2/100),2)</f>
        <v>1071.0999999999999</v>
      </c>
      <c r="J316" s="17">
        <v>950</v>
      </c>
      <c r="K316" s="18"/>
      <c r="L316" s="18"/>
      <c r="M316" s="20"/>
      <c r="N316" s="37">
        <f t="shared" si="10"/>
        <v>0</v>
      </c>
      <c r="O316" s="21">
        <v>0.9</v>
      </c>
      <c r="P316" s="22">
        <v>3.0240000000000002E-3</v>
      </c>
    </row>
    <row r="317" spans="1:16" s="1" customFormat="1" ht="119.1" customHeight="1" outlineLevel="3" x14ac:dyDescent="0.2">
      <c r="A317" s="11">
        <v>151382</v>
      </c>
      <c r="B317" s="12" t="s">
        <v>602</v>
      </c>
      <c r="C317" s="12" t="s">
        <v>22</v>
      </c>
      <c r="D317" s="13"/>
      <c r="E317" s="14" t="s">
        <v>603</v>
      </c>
      <c r="F317" s="15" t="s">
        <v>24</v>
      </c>
      <c r="G317" s="16"/>
      <c r="H317" s="36">
        <v>627.4</v>
      </c>
      <c r="I317" s="36">
        <f>ROUND(H317-(H317*I2/100),2)</f>
        <v>627.4</v>
      </c>
      <c r="J317" s="27">
        <v>1324</v>
      </c>
      <c r="K317" s="18"/>
      <c r="L317" s="18"/>
      <c r="M317" s="20"/>
      <c r="N317" s="37">
        <f t="shared" si="10"/>
        <v>0</v>
      </c>
      <c r="O317" s="21">
        <v>0.7</v>
      </c>
      <c r="P317" s="22">
        <v>1.5809999999999999E-3</v>
      </c>
    </row>
    <row r="318" spans="1:16" s="1" customFormat="1" ht="119.1" customHeight="1" outlineLevel="3" x14ac:dyDescent="0.2">
      <c r="A318" s="11">
        <v>196131</v>
      </c>
      <c r="B318" s="12" t="s">
        <v>604</v>
      </c>
      <c r="C318" s="12" t="s">
        <v>50</v>
      </c>
      <c r="D318" s="13"/>
      <c r="E318" s="14" t="s">
        <v>605</v>
      </c>
      <c r="F318" s="15" t="s">
        <v>24</v>
      </c>
      <c r="G318" s="16"/>
      <c r="H318" s="36">
        <v>408.5</v>
      </c>
      <c r="I318" s="36">
        <f>ROUND(H318-(H318*I2/100),2)</f>
        <v>408.5</v>
      </c>
      <c r="J318" s="27">
        <v>1067</v>
      </c>
      <c r="K318" s="18"/>
      <c r="L318" s="18"/>
      <c r="M318" s="20"/>
      <c r="N318" s="37">
        <f t="shared" si="10"/>
        <v>0</v>
      </c>
      <c r="O318" s="21">
        <v>0.55000000000000004</v>
      </c>
      <c r="P318" s="22">
        <v>9.8900000000000008E-4</v>
      </c>
    </row>
    <row r="319" spans="1:16" s="1" customFormat="1" ht="119.1" customHeight="1" outlineLevel="3" x14ac:dyDescent="0.2">
      <c r="A319" s="11">
        <v>219285</v>
      </c>
      <c r="B319" s="12" t="s">
        <v>606</v>
      </c>
      <c r="C319" s="12" t="s">
        <v>22</v>
      </c>
      <c r="D319" s="13"/>
      <c r="E319" s="14" t="s">
        <v>607</v>
      </c>
      <c r="F319" s="15" t="s">
        <v>24</v>
      </c>
      <c r="G319" s="16"/>
      <c r="H319" s="36">
        <v>1097.2</v>
      </c>
      <c r="I319" s="36">
        <f>ROUND(H319-(H319*I2/100),2)</f>
        <v>1097.2</v>
      </c>
      <c r="J319" s="27">
        <v>1169</v>
      </c>
      <c r="K319" s="18"/>
      <c r="L319" s="18"/>
      <c r="M319" s="20"/>
      <c r="N319" s="37">
        <f t="shared" si="10"/>
        <v>0</v>
      </c>
      <c r="O319" s="21">
        <v>0.2</v>
      </c>
      <c r="P319" s="22">
        <v>2E-3</v>
      </c>
    </row>
    <row r="320" spans="1:16" s="8" customFormat="1" ht="15.95" customHeight="1" outlineLevel="2" x14ac:dyDescent="0.25">
      <c r="A320" s="9"/>
      <c r="B320" s="10"/>
      <c r="C320" s="10"/>
      <c r="D320" s="10" t="s">
        <v>608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spans="1:16" s="8" customFormat="1" ht="15.95" customHeight="1" outlineLevel="3" x14ac:dyDescent="0.25">
      <c r="A321" s="9"/>
      <c r="B321" s="10"/>
      <c r="C321" s="10"/>
      <c r="D321" s="10" t="s">
        <v>609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spans="1:16" s="1" customFormat="1" ht="119.1" customHeight="1" outlineLevel="4" x14ac:dyDescent="0.2">
      <c r="A322" s="11">
        <v>151349</v>
      </c>
      <c r="B322" s="12" t="s">
        <v>610</v>
      </c>
      <c r="C322" s="12" t="s">
        <v>22</v>
      </c>
      <c r="D322" s="13"/>
      <c r="E322" s="14" t="s">
        <v>611</v>
      </c>
      <c r="F322" s="15" t="s">
        <v>113</v>
      </c>
      <c r="G322" s="16"/>
      <c r="H322" s="36">
        <v>182.3</v>
      </c>
      <c r="I322" s="36">
        <f>ROUND(H322-(H322*I2/100),2)</f>
        <v>182.3</v>
      </c>
      <c r="J322" s="17">
        <v>9</v>
      </c>
      <c r="K322" s="18"/>
      <c r="L322" s="18"/>
      <c r="M322" s="20"/>
      <c r="N322" s="37">
        <f>I322*M322</f>
        <v>0</v>
      </c>
      <c r="O322" s="21">
        <v>0.06</v>
      </c>
      <c r="P322" s="22">
        <v>2.03E-4</v>
      </c>
    </row>
    <row r="323" spans="1:16" s="8" customFormat="1" ht="15.95" customHeight="1" outlineLevel="3" x14ac:dyDescent="0.25">
      <c r="A323" s="9"/>
      <c r="B323" s="10"/>
      <c r="C323" s="10"/>
      <c r="D323" s="10" t="s">
        <v>612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spans="1:16" s="1" customFormat="1" ht="119.1" customHeight="1" outlineLevel="4" x14ac:dyDescent="0.2">
      <c r="A324" s="11">
        <v>216824</v>
      </c>
      <c r="B324" s="12" t="s">
        <v>613</v>
      </c>
      <c r="C324" s="12" t="s">
        <v>50</v>
      </c>
      <c r="D324" s="13"/>
      <c r="E324" s="14" t="s">
        <v>614</v>
      </c>
      <c r="F324" s="15" t="s">
        <v>113</v>
      </c>
      <c r="G324" s="16"/>
      <c r="H324" s="36">
        <v>20.6</v>
      </c>
      <c r="I324" s="36">
        <f>ROUND(H324-(H324*I2/100),2)</f>
        <v>20.6</v>
      </c>
      <c r="J324" s="17">
        <v>379</v>
      </c>
      <c r="K324" s="18"/>
      <c r="L324" s="18"/>
      <c r="M324" s="20"/>
      <c r="N324" s="37">
        <f t="shared" ref="N324:N371" si="11">I324*M324</f>
        <v>0</v>
      </c>
      <c r="O324" s="21">
        <v>1.2999999999999999E-2</v>
      </c>
      <c r="P324" s="22">
        <v>5.3999999999999998E-5</v>
      </c>
    </row>
    <row r="325" spans="1:16" s="1" customFormat="1" ht="119.1" customHeight="1" outlineLevel="4" x14ac:dyDescent="0.2">
      <c r="A325" s="11">
        <v>203688</v>
      </c>
      <c r="B325" s="12" t="s">
        <v>615</v>
      </c>
      <c r="C325" s="12" t="s">
        <v>22</v>
      </c>
      <c r="D325" s="13"/>
      <c r="E325" s="14" t="s">
        <v>616</v>
      </c>
      <c r="F325" s="15" t="s">
        <v>113</v>
      </c>
      <c r="G325" s="16"/>
      <c r="H325" s="36">
        <v>48.8</v>
      </c>
      <c r="I325" s="36">
        <f>ROUND(H325-(H325*I2/100),2)</f>
        <v>48.8</v>
      </c>
      <c r="J325" s="17">
        <v>501</v>
      </c>
      <c r="K325" s="18"/>
      <c r="L325" s="18"/>
      <c r="M325" s="20"/>
      <c r="N325" s="37">
        <f t="shared" si="11"/>
        <v>0</v>
      </c>
      <c r="O325" s="21">
        <v>0.01</v>
      </c>
      <c r="P325" s="22">
        <v>9.6000000000000002E-5</v>
      </c>
    </row>
    <row r="326" spans="1:16" s="1" customFormat="1" ht="119.1" customHeight="1" outlineLevel="4" x14ac:dyDescent="0.2">
      <c r="A326" s="11">
        <v>216825</v>
      </c>
      <c r="B326" s="12" t="s">
        <v>617</v>
      </c>
      <c r="C326" s="12" t="s">
        <v>50</v>
      </c>
      <c r="D326" s="13"/>
      <c r="E326" s="14" t="s">
        <v>618</v>
      </c>
      <c r="F326" s="15" t="s">
        <v>113</v>
      </c>
      <c r="G326" s="16"/>
      <c r="H326" s="36">
        <v>32.1</v>
      </c>
      <c r="I326" s="36">
        <f>ROUND(H326-(H326*I2/100),2)</f>
        <v>32.1</v>
      </c>
      <c r="J326" s="17">
        <v>105</v>
      </c>
      <c r="K326" s="18"/>
      <c r="L326" s="18"/>
      <c r="M326" s="20"/>
      <c r="N326" s="37">
        <f t="shared" si="11"/>
        <v>0</v>
      </c>
      <c r="O326" s="21">
        <v>2.7E-2</v>
      </c>
      <c r="P326" s="22">
        <v>6.3E-5</v>
      </c>
    </row>
    <row r="327" spans="1:16" s="1" customFormat="1" ht="119.1" customHeight="1" outlineLevel="4" x14ac:dyDescent="0.2">
      <c r="A327" s="11">
        <v>199656</v>
      </c>
      <c r="B327" s="12" t="s">
        <v>619</v>
      </c>
      <c r="C327" s="12" t="s">
        <v>22</v>
      </c>
      <c r="D327" s="13"/>
      <c r="E327" s="14" t="s">
        <v>620</v>
      </c>
      <c r="F327" s="15" t="s">
        <v>113</v>
      </c>
      <c r="G327" s="16"/>
      <c r="H327" s="36">
        <v>63.9</v>
      </c>
      <c r="I327" s="36">
        <f>ROUND(H327-(H327*I2/100),2)</f>
        <v>63.9</v>
      </c>
      <c r="J327" s="17">
        <v>387</v>
      </c>
      <c r="K327" s="18"/>
      <c r="L327" s="18"/>
      <c r="M327" s="20"/>
      <c r="N327" s="37">
        <f t="shared" si="11"/>
        <v>0</v>
      </c>
      <c r="O327" s="21">
        <v>0.2</v>
      </c>
      <c r="P327" s="22">
        <v>2.9999999999999997E-4</v>
      </c>
    </row>
    <row r="328" spans="1:16" s="1" customFormat="1" ht="119.1" customHeight="1" outlineLevel="4" x14ac:dyDescent="0.2">
      <c r="A328" s="11">
        <v>215010</v>
      </c>
      <c r="B328" s="12" t="s">
        <v>621</v>
      </c>
      <c r="C328" s="12" t="s">
        <v>22</v>
      </c>
      <c r="D328" s="13"/>
      <c r="E328" s="14" t="s">
        <v>622</v>
      </c>
      <c r="F328" s="15" t="s">
        <v>24</v>
      </c>
      <c r="G328" s="16"/>
      <c r="H328" s="36">
        <v>69.2</v>
      </c>
      <c r="I328" s="36">
        <f>ROUND(H328-(H328*I2/100),2)</f>
        <v>69.2</v>
      </c>
      <c r="J328" s="27">
        <v>1125</v>
      </c>
      <c r="K328" s="18"/>
      <c r="L328" s="18"/>
      <c r="M328" s="20"/>
      <c r="N328" s="37">
        <f t="shared" si="11"/>
        <v>0</v>
      </c>
      <c r="O328" s="21">
        <v>0.1</v>
      </c>
      <c r="P328" s="22">
        <v>1E-4</v>
      </c>
    </row>
    <row r="329" spans="1:16" s="1" customFormat="1" ht="119.1" customHeight="1" outlineLevel="4" x14ac:dyDescent="0.2">
      <c r="A329" s="11">
        <v>186169</v>
      </c>
      <c r="B329" s="12" t="s">
        <v>623</v>
      </c>
      <c r="C329" s="12" t="s">
        <v>22</v>
      </c>
      <c r="D329" s="13"/>
      <c r="E329" s="14" t="s">
        <v>624</v>
      </c>
      <c r="F329" s="15" t="s">
        <v>113</v>
      </c>
      <c r="G329" s="16"/>
      <c r="H329" s="36">
        <v>805.1</v>
      </c>
      <c r="I329" s="36">
        <f>ROUND(H329-(H329*I2/100),2)</f>
        <v>805.1</v>
      </c>
      <c r="J329" s="17">
        <v>3</v>
      </c>
      <c r="K329" s="18"/>
      <c r="L329" s="18"/>
      <c r="M329" s="20"/>
      <c r="N329" s="37">
        <f t="shared" si="11"/>
        <v>0</v>
      </c>
      <c r="O329" s="21">
        <v>0.38</v>
      </c>
      <c r="P329" s="22">
        <v>1.3799999999999999E-4</v>
      </c>
    </row>
    <row r="330" spans="1:16" s="1" customFormat="1" ht="119.1" customHeight="1" outlineLevel="4" x14ac:dyDescent="0.2">
      <c r="A330" s="11">
        <v>215011</v>
      </c>
      <c r="B330" s="12" t="s">
        <v>625</v>
      </c>
      <c r="C330" s="12" t="s">
        <v>22</v>
      </c>
      <c r="D330" s="13"/>
      <c r="E330" s="14" t="s">
        <v>626</v>
      </c>
      <c r="F330" s="15" t="s">
        <v>24</v>
      </c>
      <c r="G330" s="16"/>
      <c r="H330" s="36">
        <v>92.5</v>
      </c>
      <c r="I330" s="36">
        <f>ROUND(H330-(H330*I2/100),2)</f>
        <v>92.5</v>
      </c>
      <c r="J330" s="17">
        <v>49</v>
      </c>
      <c r="K330" s="18"/>
      <c r="L330" s="18"/>
      <c r="M330" s="20"/>
      <c r="N330" s="37">
        <f t="shared" si="11"/>
        <v>0</v>
      </c>
      <c r="O330" s="21">
        <v>0.1</v>
      </c>
      <c r="P330" s="22">
        <v>2.0000000000000001E-4</v>
      </c>
    </row>
    <row r="331" spans="1:16" s="1" customFormat="1" ht="119.1" customHeight="1" outlineLevel="4" x14ac:dyDescent="0.2">
      <c r="A331" s="11">
        <v>186170</v>
      </c>
      <c r="B331" s="12" t="s">
        <v>627</v>
      </c>
      <c r="C331" s="12" t="s">
        <v>22</v>
      </c>
      <c r="D331" s="13"/>
      <c r="E331" s="14" t="s">
        <v>628</v>
      </c>
      <c r="F331" s="15" t="s">
        <v>113</v>
      </c>
      <c r="G331" s="16"/>
      <c r="H331" s="36">
        <v>1178.7</v>
      </c>
      <c r="I331" s="36">
        <f>ROUND(H331-(H331*I2/100),2)</f>
        <v>1178.7</v>
      </c>
      <c r="J331" s="17">
        <v>95</v>
      </c>
      <c r="K331" s="18"/>
      <c r="L331" s="18"/>
      <c r="M331" s="20"/>
      <c r="N331" s="37">
        <f t="shared" si="11"/>
        <v>0</v>
      </c>
      <c r="O331" s="21">
        <v>0.51700000000000002</v>
      </c>
      <c r="P331" s="22">
        <v>2.1599999999999999E-4</v>
      </c>
    </row>
    <row r="332" spans="1:16" s="1" customFormat="1" ht="119.1" customHeight="1" outlineLevel="4" x14ac:dyDescent="0.2">
      <c r="A332" s="11">
        <v>186171</v>
      </c>
      <c r="B332" s="12" t="s">
        <v>629</v>
      </c>
      <c r="C332" s="12" t="s">
        <v>22</v>
      </c>
      <c r="D332" s="13"/>
      <c r="E332" s="14" t="s">
        <v>630</v>
      </c>
      <c r="F332" s="15" t="s">
        <v>113</v>
      </c>
      <c r="G332" s="16"/>
      <c r="H332" s="36">
        <v>1430.2</v>
      </c>
      <c r="I332" s="36">
        <f>ROUND(H332-(H332*I2/100),2)</f>
        <v>1430.2</v>
      </c>
      <c r="J332" s="17">
        <v>121</v>
      </c>
      <c r="K332" s="18"/>
      <c r="L332" s="18"/>
      <c r="M332" s="20"/>
      <c r="N332" s="37">
        <f t="shared" si="11"/>
        <v>0</v>
      </c>
      <c r="O332" s="21">
        <v>0.64</v>
      </c>
      <c r="P332" s="22">
        <v>3.1199999999999999E-4</v>
      </c>
    </row>
    <row r="333" spans="1:16" s="1" customFormat="1" ht="119.1" customHeight="1" outlineLevel="4" x14ac:dyDescent="0.2">
      <c r="A333" s="11">
        <v>216827</v>
      </c>
      <c r="B333" s="12" t="s">
        <v>631</v>
      </c>
      <c r="C333" s="12" t="s">
        <v>50</v>
      </c>
      <c r="D333" s="13"/>
      <c r="E333" s="14" t="s">
        <v>632</v>
      </c>
      <c r="F333" s="15" t="s">
        <v>113</v>
      </c>
      <c r="G333" s="16"/>
      <c r="H333" s="36">
        <v>19.8</v>
      </c>
      <c r="I333" s="36">
        <f>ROUND(H333-(H333*I2/100),2)</f>
        <v>19.8</v>
      </c>
      <c r="J333" s="27">
        <v>2661</v>
      </c>
      <c r="K333" s="18"/>
      <c r="L333" s="18"/>
      <c r="M333" s="20"/>
      <c r="N333" s="37">
        <f t="shared" si="11"/>
        <v>0</v>
      </c>
      <c r="O333" s="21">
        <v>1.2999999999999999E-2</v>
      </c>
      <c r="P333" s="22">
        <v>5.3999999999999998E-5</v>
      </c>
    </row>
    <row r="334" spans="1:16" s="1" customFormat="1" ht="119.1" customHeight="1" outlineLevel="4" x14ac:dyDescent="0.2">
      <c r="A334" s="11">
        <v>203616</v>
      </c>
      <c r="B334" s="12" t="s">
        <v>633</v>
      </c>
      <c r="C334" s="12" t="s">
        <v>22</v>
      </c>
      <c r="D334" s="13"/>
      <c r="E334" s="14" t="s">
        <v>634</v>
      </c>
      <c r="F334" s="15" t="s">
        <v>113</v>
      </c>
      <c r="G334" s="16"/>
      <c r="H334" s="36">
        <v>50.4</v>
      </c>
      <c r="I334" s="36">
        <f>ROUND(H334-(H334*I2/100),2)</f>
        <v>50.4</v>
      </c>
      <c r="J334" s="27">
        <v>1503</v>
      </c>
      <c r="K334" s="18"/>
      <c r="L334" s="18"/>
      <c r="M334" s="20"/>
      <c r="N334" s="37">
        <f t="shared" si="11"/>
        <v>0</v>
      </c>
      <c r="O334" s="21">
        <v>0.2</v>
      </c>
      <c r="P334" s="22">
        <v>2.0000000000000001E-4</v>
      </c>
    </row>
    <row r="335" spans="1:16" s="1" customFormat="1" ht="119.1" customHeight="1" outlineLevel="4" x14ac:dyDescent="0.2">
      <c r="A335" s="11">
        <v>217020</v>
      </c>
      <c r="B335" s="12" t="s">
        <v>635</v>
      </c>
      <c r="C335" s="12" t="s">
        <v>50</v>
      </c>
      <c r="D335" s="13"/>
      <c r="E335" s="14" t="s">
        <v>636</v>
      </c>
      <c r="F335" s="15" t="s">
        <v>113</v>
      </c>
      <c r="G335" s="16"/>
      <c r="H335" s="36">
        <v>69.400000000000006</v>
      </c>
      <c r="I335" s="36">
        <f>ROUND(H335-(H335*I2/100),2)</f>
        <v>69.400000000000006</v>
      </c>
      <c r="J335" s="17">
        <v>56</v>
      </c>
      <c r="K335" s="18"/>
      <c r="L335" s="18"/>
      <c r="M335" s="20"/>
      <c r="N335" s="37">
        <f t="shared" si="11"/>
        <v>0</v>
      </c>
      <c r="O335" s="21">
        <v>4.4999999999999998E-2</v>
      </c>
      <c r="P335" s="22">
        <v>2.0599999999999999E-4</v>
      </c>
    </row>
    <row r="336" spans="1:16" s="1" customFormat="1" ht="119.1" customHeight="1" outlineLevel="4" x14ac:dyDescent="0.2">
      <c r="A336" s="11">
        <v>192914</v>
      </c>
      <c r="B336" s="12" t="s">
        <v>637</v>
      </c>
      <c r="C336" s="12" t="s">
        <v>22</v>
      </c>
      <c r="D336" s="13"/>
      <c r="E336" s="14" t="s">
        <v>638</v>
      </c>
      <c r="F336" s="15" t="s">
        <v>113</v>
      </c>
      <c r="G336" s="16"/>
      <c r="H336" s="36">
        <v>70.3</v>
      </c>
      <c r="I336" s="36">
        <f>ROUND(H336-(H336*I2/100),2)</f>
        <v>70.3</v>
      </c>
      <c r="J336" s="17">
        <v>598</v>
      </c>
      <c r="K336" s="18"/>
      <c r="L336" s="18"/>
      <c r="M336" s="20"/>
      <c r="N336" s="37">
        <f t="shared" si="11"/>
        <v>0</v>
      </c>
      <c r="O336" s="21">
        <v>0.2</v>
      </c>
      <c r="P336" s="22">
        <v>2E-3</v>
      </c>
    </row>
    <row r="337" spans="1:16" s="1" customFormat="1" ht="119.1" customHeight="1" outlineLevel="4" x14ac:dyDescent="0.2">
      <c r="A337" s="11">
        <v>219993</v>
      </c>
      <c r="B337" s="12" t="s">
        <v>639</v>
      </c>
      <c r="C337" s="12" t="s">
        <v>50</v>
      </c>
      <c r="D337" s="28"/>
      <c r="E337" s="29" t="s">
        <v>640</v>
      </c>
      <c r="F337" s="30" t="s">
        <v>113</v>
      </c>
      <c r="G337" s="31" t="s">
        <v>209</v>
      </c>
      <c r="H337" s="36">
        <v>30.3</v>
      </c>
      <c r="I337" s="36">
        <f>ROUND(H337-(H337*I2/100),2)</f>
        <v>30.3</v>
      </c>
      <c r="J337" s="27">
        <v>5414</v>
      </c>
      <c r="K337" s="18"/>
      <c r="L337" s="18"/>
      <c r="M337" s="20"/>
      <c r="N337" s="37">
        <f t="shared" si="11"/>
        <v>0</v>
      </c>
      <c r="O337" s="21">
        <v>2.5000000000000001E-2</v>
      </c>
      <c r="P337" s="22">
        <v>6.3E-5</v>
      </c>
    </row>
    <row r="338" spans="1:16" s="1" customFormat="1" ht="119.1" customHeight="1" outlineLevel="4" x14ac:dyDescent="0.2">
      <c r="A338" s="11">
        <v>196206</v>
      </c>
      <c r="B338" s="12" t="s">
        <v>641</v>
      </c>
      <c r="C338" s="12" t="s">
        <v>22</v>
      </c>
      <c r="D338" s="28"/>
      <c r="E338" s="29" t="s">
        <v>642</v>
      </c>
      <c r="F338" s="30" t="s">
        <v>113</v>
      </c>
      <c r="G338" s="31" t="s">
        <v>209</v>
      </c>
      <c r="H338" s="36">
        <v>67.7</v>
      </c>
      <c r="I338" s="36">
        <f>ROUND(H338-(H338*I2/100),2)</f>
        <v>67.7</v>
      </c>
      <c r="J338" s="27">
        <v>2595</v>
      </c>
      <c r="K338" s="18"/>
      <c r="L338" s="18"/>
      <c r="M338" s="20"/>
      <c r="N338" s="37">
        <f t="shared" si="11"/>
        <v>0</v>
      </c>
      <c r="O338" s="21">
        <v>2.3E-2</v>
      </c>
      <c r="P338" s="22">
        <v>1.92E-4</v>
      </c>
    </row>
    <row r="339" spans="1:16" s="1" customFormat="1" ht="119.1" customHeight="1" outlineLevel="4" x14ac:dyDescent="0.2">
      <c r="A339" s="11">
        <v>216837</v>
      </c>
      <c r="B339" s="12" t="s">
        <v>643</v>
      </c>
      <c r="C339" s="12" t="s">
        <v>50</v>
      </c>
      <c r="D339" s="13"/>
      <c r="E339" s="14" t="s">
        <v>644</v>
      </c>
      <c r="F339" s="15" t="s">
        <v>113</v>
      </c>
      <c r="G339" s="16"/>
      <c r="H339" s="36">
        <v>76.2</v>
      </c>
      <c r="I339" s="36">
        <f>ROUND(H339-(H339*I2/100),2)</f>
        <v>76.2</v>
      </c>
      <c r="J339" s="17">
        <v>617</v>
      </c>
      <c r="K339" s="18"/>
      <c r="L339" s="18"/>
      <c r="M339" s="20"/>
      <c r="N339" s="37">
        <f t="shared" si="11"/>
        <v>0</v>
      </c>
      <c r="O339" s="21">
        <v>6.0999999999999999E-2</v>
      </c>
      <c r="P339" s="22">
        <v>2.0599999999999999E-4</v>
      </c>
    </row>
    <row r="340" spans="1:16" s="1" customFormat="1" ht="119.1" customHeight="1" outlineLevel="4" x14ac:dyDescent="0.2">
      <c r="A340" s="11">
        <v>216168</v>
      </c>
      <c r="B340" s="12" t="s">
        <v>645</v>
      </c>
      <c r="C340" s="12" t="s">
        <v>22</v>
      </c>
      <c r="D340" s="28"/>
      <c r="E340" s="29" t="s">
        <v>646</v>
      </c>
      <c r="F340" s="30" t="s">
        <v>24</v>
      </c>
      <c r="G340" s="31" t="s">
        <v>209</v>
      </c>
      <c r="H340" s="36">
        <v>133</v>
      </c>
      <c r="I340" s="36">
        <f>ROUND(H340-(H340*I2/100),2)</f>
        <v>133</v>
      </c>
      <c r="J340" s="17">
        <v>6</v>
      </c>
      <c r="K340" s="18"/>
      <c r="L340" s="18"/>
      <c r="M340" s="20"/>
      <c r="N340" s="37">
        <f t="shared" si="11"/>
        <v>0</v>
      </c>
      <c r="O340" s="21">
        <v>0.1</v>
      </c>
      <c r="P340" s="22">
        <v>2.0000000000000001E-4</v>
      </c>
    </row>
    <row r="341" spans="1:16" s="1" customFormat="1" ht="119.1" customHeight="1" outlineLevel="4" x14ac:dyDescent="0.2">
      <c r="A341" s="11">
        <v>186172</v>
      </c>
      <c r="B341" s="12" t="s">
        <v>647</v>
      </c>
      <c r="C341" s="12" t="s">
        <v>22</v>
      </c>
      <c r="D341" s="13"/>
      <c r="E341" s="14" t="s">
        <v>648</v>
      </c>
      <c r="F341" s="15" t="s">
        <v>113</v>
      </c>
      <c r="G341" s="16"/>
      <c r="H341" s="36">
        <v>1430.2</v>
      </c>
      <c r="I341" s="36">
        <f>ROUND(H341-(H341*I2/100),2)</f>
        <v>1430.2</v>
      </c>
      <c r="J341" s="17">
        <v>39</v>
      </c>
      <c r="K341" s="18"/>
      <c r="L341" s="18"/>
      <c r="M341" s="20"/>
      <c r="N341" s="37">
        <f t="shared" si="11"/>
        <v>0</v>
      </c>
      <c r="O341" s="21">
        <v>0.6</v>
      </c>
      <c r="P341" s="22">
        <v>5.9999999999999995E-4</v>
      </c>
    </row>
    <row r="342" spans="1:16" s="1" customFormat="1" ht="119.1" customHeight="1" outlineLevel="4" x14ac:dyDescent="0.2">
      <c r="A342" s="11">
        <v>196207</v>
      </c>
      <c r="B342" s="12" t="s">
        <v>649</v>
      </c>
      <c r="C342" s="12" t="s">
        <v>22</v>
      </c>
      <c r="D342" s="13"/>
      <c r="E342" s="14" t="s">
        <v>650</v>
      </c>
      <c r="F342" s="15" t="s">
        <v>113</v>
      </c>
      <c r="G342" s="16"/>
      <c r="H342" s="36">
        <v>87.2</v>
      </c>
      <c r="I342" s="36">
        <f>ROUND(H342-(H342*I2/100),2)</f>
        <v>87.2</v>
      </c>
      <c r="J342" s="27">
        <v>2664</v>
      </c>
      <c r="K342" s="18"/>
      <c r="L342" s="18"/>
      <c r="M342" s="20"/>
      <c r="N342" s="37">
        <f t="shared" si="11"/>
        <v>0</v>
      </c>
      <c r="O342" s="21">
        <v>3.2000000000000001E-2</v>
      </c>
      <c r="P342" s="22">
        <v>5.9999999999999995E-4</v>
      </c>
    </row>
    <row r="343" spans="1:16" s="1" customFormat="1" ht="119.1" customHeight="1" outlineLevel="4" x14ac:dyDescent="0.2">
      <c r="A343" s="11">
        <v>183303</v>
      </c>
      <c r="B343" s="12" t="s">
        <v>651</v>
      </c>
      <c r="C343" s="12" t="s">
        <v>22</v>
      </c>
      <c r="D343" s="13"/>
      <c r="E343" s="14" t="s">
        <v>652</v>
      </c>
      <c r="F343" s="15" t="s">
        <v>113</v>
      </c>
      <c r="G343" s="16"/>
      <c r="H343" s="36">
        <v>305.8</v>
      </c>
      <c r="I343" s="36">
        <f>ROUND(H343-(H343*I2/100),2)</f>
        <v>305.8</v>
      </c>
      <c r="J343" s="17">
        <v>115</v>
      </c>
      <c r="K343" s="18"/>
      <c r="L343" s="18"/>
      <c r="M343" s="20"/>
      <c r="N343" s="37">
        <f t="shared" si="11"/>
        <v>0</v>
      </c>
      <c r="O343" s="21">
        <v>0.14499999999999999</v>
      </c>
      <c r="P343" s="22">
        <v>6.3E-5</v>
      </c>
    </row>
    <row r="344" spans="1:16" s="1" customFormat="1" ht="119.1" customHeight="1" outlineLevel="4" x14ac:dyDescent="0.2">
      <c r="A344" s="11">
        <v>216826</v>
      </c>
      <c r="B344" s="12" t="s">
        <v>653</v>
      </c>
      <c r="C344" s="12" t="s">
        <v>50</v>
      </c>
      <c r="D344" s="13"/>
      <c r="E344" s="14" t="s">
        <v>654</v>
      </c>
      <c r="F344" s="15" t="s">
        <v>113</v>
      </c>
      <c r="G344" s="16"/>
      <c r="H344" s="36">
        <v>41.3</v>
      </c>
      <c r="I344" s="36">
        <f>ROUND(H344-(H344*I2/100),2)</f>
        <v>41.3</v>
      </c>
      <c r="J344" s="27">
        <v>2484</v>
      </c>
      <c r="K344" s="18"/>
      <c r="L344" s="18"/>
      <c r="M344" s="20"/>
      <c r="N344" s="37">
        <f t="shared" si="11"/>
        <v>0</v>
      </c>
      <c r="O344" s="21">
        <v>3.2000000000000001E-2</v>
      </c>
      <c r="P344" s="22">
        <v>7.1000000000000005E-5</v>
      </c>
    </row>
    <row r="345" spans="1:16" s="1" customFormat="1" ht="119.1" customHeight="1" outlineLevel="4" x14ac:dyDescent="0.2">
      <c r="A345" s="11">
        <v>216828</v>
      </c>
      <c r="B345" s="12" t="s">
        <v>655</v>
      </c>
      <c r="C345" s="12" t="s">
        <v>50</v>
      </c>
      <c r="D345" s="13"/>
      <c r="E345" s="14" t="s">
        <v>656</v>
      </c>
      <c r="F345" s="15" t="s">
        <v>113</v>
      </c>
      <c r="G345" s="16"/>
      <c r="H345" s="36">
        <v>20.6</v>
      </c>
      <c r="I345" s="36">
        <f>ROUND(H345-(H345*I2/100),2)</f>
        <v>20.6</v>
      </c>
      <c r="J345" s="17">
        <v>361</v>
      </c>
      <c r="K345" s="18"/>
      <c r="L345" s="18"/>
      <c r="M345" s="20"/>
      <c r="N345" s="37">
        <f t="shared" si="11"/>
        <v>0</v>
      </c>
      <c r="O345" s="21">
        <v>1.2999999999999999E-2</v>
      </c>
      <c r="P345" s="22">
        <v>5.3999999999999998E-5</v>
      </c>
    </row>
    <row r="346" spans="1:16" s="1" customFormat="1" ht="119.1" customHeight="1" outlineLevel="4" x14ac:dyDescent="0.2">
      <c r="A346" s="11">
        <v>216829</v>
      </c>
      <c r="B346" s="12" t="s">
        <v>657</v>
      </c>
      <c r="C346" s="12" t="s">
        <v>50</v>
      </c>
      <c r="D346" s="13"/>
      <c r="E346" s="14" t="s">
        <v>658</v>
      </c>
      <c r="F346" s="15" t="s">
        <v>113</v>
      </c>
      <c r="G346" s="16"/>
      <c r="H346" s="36">
        <v>33.9</v>
      </c>
      <c r="I346" s="36">
        <f>ROUND(H346-(H346*I2/100),2)</f>
        <v>33.9</v>
      </c>
      <c r="J346" s="17">
        <v>326</v>
      </c>
      <c r="K346" s="18"/>
      <c r="L346" s="18"/>
      <c r="M346" s="20"/>
      <c r="N346" s="37">
        <f t="shared" si="11"/>
        <v>0</v>
      </c>
      <c r="O346" s="21">
        <v>2.5000000000000001E-2</v>
      </c>
      <c r="P346" s="22">
        <v>6.3E-5</v>
      </c>
    </row>
    <row r="347" spans="1:16" s="1" customFormat="1" ht="119.1" customHeight="1" outlineLevel="4" x14ac:dyDescent="0.2">
      <c r="A347" s="11">
        <v>210059</v>
      </c>
      <c r="B347" s="12" t="s">
        <v>659</v>
      </c>
      <c r="C347" s="12" t="s">
        <v>22</v>
      </c>
      <c r="D347" s="13"/>
      <c r="E347" s="14" t="s">
        <v>660</v>
      </c>
      <c r="F347" s="15" t="s">
        <v>113</v>
      </c>
      <c r="G347" s="16"/>
      <c r="H347" s="36">
        <v>71.2</v>
      </c>
      <c r="I347" s="36">
        <f>ROUND(H347-(H347*I2/100),2)</f>
        <v>71.2</v>
      </c>
      <c r="J347" s="17">
        <v>498</v>
      </c>
      <c r="K347" s="18"/>
      <c r="L347" s="18"/>
      <c r="M347" s="20"/>
      <c r="N347" s="37">
        <f t="shared" si="11"/>
        <v>0</v>
      </c>
      <c r="O347" s="21">
        <v>2.7E-2</v>
      </c>
      <c r="P347" s="22">
        <v>3.5E-4</v>
      </c>
    </row>
    <row r="348" spans="1:16" s="1" customFormat="1" ht="119.1" customHeight="1" outlineLevel="4" x14ac:dyDescent="0.2">
      <c r="A348" s="11">
        <v>216830</v>
      </c>
      <c r="B348" s="12" t="s">
        <v>661</v>
      </c>
      <c r="C348" s="12" t="s">
        <v>50</v>
      </c>
      <c r="D348" s="13"/>
      <c r="E348" s="14" t="s">
        <v>662</v>
      </c>
      <c r="F348" s="15" t="s">
        <v>113</v>
      </c>
      <c r="G348" s="16"/>
      <c r="H348" s="36">
        <v>20.6</v>
      </c>
      <c r="I348" s="36">
        <f>ROUND(H348-(H348*I2/100),2)</f>
        <v>20.6</v>
      </c>
      <c r="J348" s="17">
        <v>70</v>
      </c>
      <c r="K348" s="18"/>
      <c r="L348" s="18"/>
      <c r="M348" s="20"/>
      <c r="N348" s="37">
        <f t="shared" si="11"/>
        <v>0</v>
      </c>
      <c r="O348" s="21">
        <v>1.2999999999999999E-2</v>
      </c>
      <c r="P348" s="22">
        <v>5.3999999999999998E-5</v>
      </c>
    </row>
    <row r="349" spans="1:16" s="1" customFormat="1" ht="119.1" customHeight="1" outlineLevel="4" x14ac:dyDescent="0.2">
      <c r="A349" s="11">
        <v>216831</v>
      </c>
      <c r="B349" s="12" t="s">
        <v>663</v>
      </c>
      <c r="C349" s="12" t="s">
        <v>50</v>
      </c>
      <c r="D349" s="13"/>
      <c r="E349" s="14" t="s">
        <v>664</v>
      </c>
      <c r="F349" s="15" t="s">
        <v>113</v>
      </c>
      <c r="G349" s="16"/>
      <c r="H349" s="36">
        <v>33.9</v>
      </c>
      <c r="I349" s="36">
        <f>ROUND(H349-(H349*I2/100),2)</f>
        <v>33.9</v>
      </c>
      <c r="J349" s="17">
        <v>28</v>
      </c>
      <c r="K349" s="18"/>
      <c r="L349" s="18"/>
      <c r="M349" s="20"/>
      <c r="N349" s="37">
        <f t="shared" si="11"/>
        <v>0</v>
      </c>
      <c r="O349" s="21">
        <v>2.7E-2</v>
      </c>
      <c r="P349" s="22">
        <v>6.3E-5</v>
      </c>
    </row>
    <row r="350" spans="1:16" s="1" customFormat="1" ht="119.1" customHeight="1" outlineLevel="4" x14ac:dyDescent="0.2">
      <c r="A350" s="11">
        <v>216833</v>
      </c>
      <c r="B350" s="12" t="s">
        <v>665</v>
      </c>
      <c r="C350" s="12" t="s">
        <v>50</v>
      </c>
      <c r="D350" s="13"/>
      <c r="E350" s="14" t="s">
        <v>666</v>
      </c>
      <c r="F350" s="15" t="s">
        <v>113</v>
      </c>
      <c r="G350" s="16"/>
      <c r="H350" s="36">
        <v>20.6</v>
      </c>
      <c r="I350" s="36">
        <f>ROUND(H350-(H350*I2/100),2)</f>
        <v>20.6</v>
      </c>
      <c r="J350" s="17">
        <v>353</v>
      </c>
      <c r="K350" s="18"/>
      <c r="L350" s="18"/>
      <c r="M350" s="20"/>
      <c r="N350" s="37">
        <f t="shared" si="11"/>
        <v>0</v>
      </c>
      <c r="O350" s="21">
        <v>1.4E-2</v>
      </c>
      <c r="P350" s="22">
        <v>5.3999999999999998E-5</v>
      </c>
    </row>
    <row r="351" spans="1:16" s="1" customFormat="1" ht="119.1" customHeight="1" outlineLevel="4" x14ac:dyDescent="0.2">
      <c r="A351" s="11">
        <v>216832</v>
      </c>
      <c r="B351" s="12" t="s">
        <v>667</v>
      </c>
      <c r="C351" s="12" t="s">
        <v>50</v>
      </c>
      <c r="D351" s="13"/>
      <c r="E351" s="14" t="s">
        <v>668</v>
      </c>
      <c r="F351" s="15" t="s">
        <v>113</v>
      </c>
      <c r="G351" s="16"/>
      <c r="H351" s="36">
        <v>46</v>
      </c>
      <c r="I351" s="36">
        <f>ROUND(H351-(H351*I2/100),2)</f>
        <v>46</v>
      </c>
      <c r="J351" s="17">
        <v>229</v>
      </c>
      <c r="K351" s="18"/>
      <c r="L351" s="18"/>
      <c r="M351" s="20"/>
      <c r="N351" s="37">
        <f t="shared" si="11"/>
        <v>0</v>
      </c>
      <c r="O351" s="21">
        <v>3.3000000000000002E-2</v>
      </c>
      <c r="P351" s="22">
        <v>7.1000000000000005E-5</v>
      </c>
    </row>
    <row r="352" spans="1:16" s="1" customFormat="1" ht="119.1" customHeight="1" outlineLevel="4" x14ac:dyDescent="0.2">
      <c r="A352" s="11">
        <v>216835</v>
      </c>
      <c r="B352" s="12" t="s">
        <v>669</v>
      </c>
      <c r="C352" s="12" t="s">
        <v>50</v>
      </c>
      <c r="D352" s="13"/>
      <c r="E352" s="14" t="s">
        <v>670</v>
      </c>
      <c r="F352" s="15" t="s">
        <v>113</v>
      </c>
      <c r="G352" s="16"/>
      <c r="H352" s="36">
        <v>20.6</v>
      </c>
      <c r="I352" s="36">
        <f>ROUND(H352-(H352*I2/100),2)</f>
        <v>20.6</v>
      </c>
      <c r="J352" s="17">
        <v>82</v>
      </c>
      <c r="K352" s="18"/>
      <c r="L352" s="18"/>
      <c r="M352" s="20"/>
      <c r="N352" s="37">
        <f t="shared" si="11"/>
        <v>0</v>
      </c>
      <c r="O352" s="21">
        <v>1.2999999999999999E-2</v>
      </c>
      <c r="P352" s="22">
        <v>5.3999999999999998E-5</v>
      </c>
    </row>
    <row r="353" spans="1:16" s="1" customFormat="1" ht="119.1" customHeight="1" outlineLevel="4" x14ac:dyDescent="0.2">
      <c r="A353" s="11">
        <v>216836</v>
      </c>
      <c r="B353" s="12" t="s">
        <v>671</v>
      </c>
      <c r="C353" s="12" t="s">
        <v>50</v>
      </c>
      <c r="D353" s="13"/>
      <c r="E353" s="14" t="s">
        <v>672</v>
      </c>
      <c r="F353" s="15" t="s">
        <v>113</v>
      </c>
      <c r="G353" s="16"/>
      <c r="H353" s="36">
        <v>33.9</v>
      </c>
      <c r="I353" s="36">
        <f>ROUND(H353-(H353*I2/100),2)</f>
        <v>33.9</v>
      </c>
      <c r="J353" s="17">
        <v>144</v>
      </c>
      <c r="K353" s="18"/>
      <c r="L353" s="18"/>
      <c r="M353" s="20"/>
      <c r="N353" s="37">
        <f t="shared" si="11"/>
        <v>0</v>
      </c>
      <c r="O353" s="21">
        <v>2.7E-2</v>
      </c>
      <c r="P353" s="22">
        <v>6.3E-5</v>
      </c>
    </row>
    <row r="354" spans="1:16" s="1" customFormat="1" ht="119.1" customHeight="1" outlineLevel="4" x14ac:dyDescent="0.2">
      <c r="A354" s="11">
        <v>191236</v>
      </c>
      <c r="B354" s="12" t="s">
        <v>673</v>
      </c>
      <c r="C354" s="12" t="s">
        <v>22</v>
      </c>
      <c r="D354" s="13"/>
      <c r="E354" s="14" t="s">
        <v>674</v>
      </c>
      <c r="F354" s="15" t="s">
        <v>113</v>
      </c>
      <c r="G354" s="16"/>
      <c r="H354" s="36">
        <v>862</v>
      </c>
      <c r="I354" s="36">
        <f>ROUND(H354-(H354*I2/100),2)</f>
        <v>862</v>
      </c>
      <c r="J354" s="17">
        <v>13</v>
      </c>
      <c r="K354" s="18"/>
      <c r="L354" s="18"/>
      <c r="M354" s="20"/>
      <c r="N354" s="37">
        <f t="shared" si="11"/>
        <v>0</v>
      </c>
      <c r="O354" s="21">
        <v>0.38</v>
      </c>
      <c r="P354" s="22">
        <v>1.3799999999999999E-4</v>
      </c>
    </row>
    <row r="355" spans="1:16" s="1" customFormat="1" ht="119.1" customHeight="1" outlineLevel="4" x14ac:dyDescent="0.2">
      <c r="A355" s="11">
        <v>201940</v>
      </c>
      <c r="B355" s="12" t="s">
        <v>675</v>
      </c>
      <c r="C355" s="12" t="s">
        <v>50</v>
      </c>
      <c r="D355" s="13"/>
      <c r="E355" s="14" t="s">
        <v>676</v>
      </c>
      <c r="F355" s="15" t="s">
        <v>113</v>
      </c>
      <c r="G355" s="16"/>
      <c r="H355" s="36">
        <v>114.1</v>
      </c>
      <c r="I355" s="36">
        <f>ROUND(H355-(H355*I2/100),2)</f>
        <v>114.1</v>
      </c>
      <c r="J355" s="17">
        <v>245</v>
      </c>
      <c r="K355" s="18"/>
      <c r="L355" s="18"/>
      <c r="M355" s="20"/>
      <c r="N355" s="37">
        <f t="shared" si="11"/>
        <v>0</v>
      </c>
      <c r="O355" s="21">
        <v>7.1999999999999995E-2</v>
      </c>
      <c r="P355" s="22">
        <v>1.4999999999999999E-4</v>
      </c>
    </row>
    <row r="356" spans="1:16" s="1" customFormat="1" ht="119.1" customHeight="1" outlineLevel="4" x14ac:dyDescent="0.2">
      <c r="A356" s="11">
        <v>201941</v>
      </c>
      <c r="B356" s="12" t="s">
        <v>677</v>
      </c>
      <c r="C356" s="12" t="s">
        <v>50</v>
      </c>
      <c r="D356" s="13"/>
      <c r="E356" s="14" t="s">
        <v>678</v>
      </c>
      <c r="F356" s="15" t="s">
        <v>113</v>
      </c>
      <c r="G356" s="16"/>
      <c r="H356" s="36">
        <v>101.6</v>
      </c>
      <c r="I356" s="36">
        <f>ROUND(H356-(H356*I2/100),2)</f>
        <v>101.6</v>
      </c>
      <c r="J356" s="17">
        <v>284</v>
      </c>
      <c r="K356" s="18"/>
      <c r="L356" s="18"/>
      <c r="M356" s="20"/>
      <c r="N356" s="37">
        <f t="shared" si="11"/>
        <v>0</v>
      </c>
      <c r="O356" s="21">
        <v>7.6999999999999999E-2</v>
      </c>
      <c r="P356" s="22">
        <v>1.5039999999999999E-3</v>
      </c>
    </row>
    <row r="357" spans="1:16" s="1" customFormat="1" ht="119.1" customHeight="1" outlineLevel="4" x14ac:dyDescent="0.2">
      <c r="A357" s="11">
        <v>165188</v>
      </c>
      <c r="B357" s="12" t="s">
        <v>679</v>
      </c>
      <c r="C357" s="12" t="s">
        <v>22</v>
      </c>
      <c r="D357" s="13"/>
      <c r="E357" s="14" t="s">
        <v>680</v>
      </c>
      <c r="F357" s="15" t="s">
        <v>113</v>
      </c>
      <c r="G357" s="16"/>
      <c r="H357" s="36">
        <v>217.3</v>
      </c>
      <c r="I357" s="36">
        <f>ROUND(H357-(H357*I2/100),2)</f>
        <v>217.3</v>
      </c>
      <c r="J357" s="17">
        <v>580</v>
      </c>
      <c r="K357" s="18"/>
      <c r="L357" s="18"/>
      <c r="M357" s="20"/>
      <c r="N357" s="37">
        <f t="shared" si="11"/>
        <v>0</v>
      </c>
      <c r="O357" s="21">
        <v>0.11899999999999999</v>
      </c>
      <c r="P357" s="22">
        <v>2.0000000000000001E-4</v>
      </c>
    </row>
    <row r="358" spans="1:16" s="1" customFormat="1" ht="119.1" customHeight="1" outlineLevel="4" x14ac:dyDescent="0.2">
      <c r="A358" s="11">
        <v>201942</v>
      </c>
      <c r="B358" s="12" t="s">
        <v>681</v>
      </c>
      <c r="C358" s="12" t="s">
        <v>50</v>
      </c>
      <c r="D358" s="13"/>
      <c r="E358" s="14" t="s">
        <v>682</v>
      </c>
      <c r="F358" s="15" t="s">
        <v>113</v>
      </c>
      <c r="G358" s="16"/>
      <c r="H358" s="36">
        <v>129</v>
      </c>
      <c r="I358" s="36">
        <f>ROUND(H358-(H358*I2/100),2)</f>
        <v>129</v>
      </c>
      <c r="J358" s="27">
        <v>1240</v>
      </c>
      <c r="K358" s="18"/>
      <c r="L358" s="18"/>
      <c r="M358" s="20"/>
      <c r="N358" s="37">
        <f t="shared" si="11"/>
        <v>0</v>
      </c>
      <c r="O358" s="21">
        <v>0.111</v>
      </c>
      <c r="P358" s="22">
        <v>1.5039999999999999E-3</v>
      </c>
    </row>
    <row r="359" spans="1:16" s="1" customFormat="1" ht="119.1" customHeight="1" outlineLevel="4" x14ac:dyDescent="0.2">
      <c r="A359" s="11">
        <v>181164</v>
      </c>
      <c r="B359" s="12" t="s">
        <v>683</v>
      </c>
      <c r="C359" s="12" t="s">
        <v>22</v>
      </c>
      <c r="D359" s="13"/>
      <c r="E359" s="14" t="s">
        <v>684</v>
      </c>
      <c r="F359" s="15" t="s">
        <v>113</v>
      </c>
      <c r="G359" s="16"/>
      <c r="H359" s="36">
        <v>278.89999999999998</v>
      </c>
      <c r="I359" s="36">
        <f>ROUND(H359-(H359*I2/100),2)</f>
        <v>278.89999999999998</v>
      </c>
      <c r="J359" s="17">
        <v>266</v>
      </c>
      <c r="K359" s="18"/>
      <c r="L359" s="18"/>
      <c r="M359" s="20"/>
      <c r="N359" s="37">
        <f t="shared" si="11"/>
        <v>0</v>
      </c>
      <c r="O359" s="21">
        <v>0.157</v>
      </c>
      <c r="P359" s="22">
        <v>2.6600000000000001E-4</v>
      </c>
    </row>
    <row r="360" spans="1:16" s="1" customFormat="1" ht="119.1" customHeight="1" outlineLevel="4" x14ac:dyDescent="0.2">
      <c r="A360" s="11">
        <v>192941</v>
      </c>
      <c r="B360" s="12" t="s">
        <v>685</v>
      </c>
      <c r="C360" s="12" t="s">
        <v>22</v>
      </c>
      <c r="D360" s="13"/>
      <c r="E360" s="14" t="s">
        <v>686</v>
      </c>
      <c r="F360" s="15" t="s">
        <v>113</v>
      </c>
      <c r="G360" s="16"/>
      <c r="H360" s="36">
        <v>281.39999999999998</v>
      </c>
      <c r="I360" s="36">
        <f>ROUND(H360-(H360*I2/100),2)</f>
        <v>281.39999999999998</v>
      </c>
      <c r="J360" s="17">
        <v>172</v>
      </c>
      <c r="K360" s="18"/>
      <c r="L360" s="18"/>
      <c r="M360" s="20"/>
      <c r="N360" s="37">
        <f t="shared" si="11"/>
        <v>0</v>
      </c>
      <c r="O360" s="21">
        <v>0.11</v>
      </c>
      <c r="P360" s="22">
        <v>2.6600000000000001E-4</v>
      </c>
    </row>
    <row r="361" spans="1:16" s="1" customFormat="1" ht="119.1" customHeight="1" outlineLevel="4" x14ac:dyDescent="0.2">
      <c r="A361" s="11">
        <v>201943</v>
      </c>
      <c r="B361" s="12" t="s">
        <v>687</v>
      </c>
      <c r="C361" s="12" t="s">
        <v>50</v>
      </c>
      <c r="D361" s="13"/>
      <c r="E361" s="14" t="s">
        <v>688</v>
      </c>
      <c r="F361" s="15" t="s">
        <v>113</v>
      </c>
      <c r="G361" s="16"/>
      <c r="H361" s="36">
        <v>152.9</v>
      </c>
      <c r="I361" s="36">
        <f>ROUND(H361-(H361*I2/100),2)</f>
        <v>152.9</v>
      </c>
      <c r="J361" s="17">
        <v>89</v>
      </c>
      <c r="K361" s="18"/>
      <c r="L361" s="18"/>
      <c r="M361" s="20"/>
      <c r="N361" s="37">
        <f t="shared" si="11"/>
        <v>0</v>
      </c>
      <c r="O361" s="21">
        <v>0.115</v>
      </c>
      <c r="P361" s="22">
        <v>1.5039999999999999E-3</v>
      </c>
    </row>
    <row r="362" spans="1:16" s="1" customFormat="1" ht="119.1" customHeight="1" outlineLevel="4" x14ac:dyDescent="0.2">
      <c r="A362" s="11">
        <v>216840</v>
      </c>
      <c r="B362" s="12" t="s">
        <v>689</v>
      </c>
      <c r="C362" s="12" t="s">
        <v>50</v>
      </c>
      <c r="D362" s="13"/>
      <c r="E362" s="14" t="s">
        <v>690</v>
      </c>
      <c r="F362" s="15" t="s">
        <v>113</v>
      </c>
      <c r="G362" s="16"/>
      <c r="H362" s="36">
        <v>86.6</v>
      </c>
      <c r="I362" s="36">
        <f>ROUND(H362-(H362*I2/100),2)</f>
        <v>86.6</v>
      </c>
      <c r="J362" s="17">
        <v>9</v>
      </c>
      <c r="K362" s="18"/>
      <c r="L362" s="18"/>
      <c r="M362" s="20"/>
      <c r="N362" s="37">
        <f t="shared" si="11"/>
        <v>0</v>
      </c>
      <c r="O362" s="21">
        <v>4.7E-2</v>
      </c>
      <c r="P362" s="22">
        <v>1.4100000000000001E-4</v>
      </c>
    </row>
    <row r="363" spans="1:16" s="1" customFormat="1" ht="119.1" customHeight="1" outlineLevel="4" x14ac:dyDescent="0.2">
      <c r="A363" s="11">
        <v>216841</v>
      </c>
      <c r="B363" s="12" t="s">
        <v>691</v>
      </c>
      <c r="C363" s="12" t="s">
        <v>50</v>
      </c>
      <c r="D363" s="13"/>
      <c r="E363" s="14" t="s">
        <v>692</v>
      </c>
      <c r="F363" s="15" t="s">
        <v>113</v>
      </c>
      <c r="G363" s="16"/>
      <c r="H363" s="36">
        <v>197.9</v>
      </c>
      <c r="I363" s="36">
        <f>ROUND(H363-(H363*I2/100),2)</f>
        <v>197.9</v>
      </c>
      <c r="J363" s="17">
        <v>66</v>
      </c>
      <c r="K363" s="18"/>
      <c r="L363" s="18"/>
      <c r="M363" s="20"/>
      <c r="N363" s="37">
        <f t="shared" si="11"/>
        <v>0</v>
      </c>
      <c r="O363" s="21">
        <v>5.3999999999999999E-2</v>
      </c>
      <c r="P363" s="22">
        <v>1.4100000000000001E-4</v>
      </c>
    </row>
    <row r="364" spans="1:16" s="1" customFormat="1" ht="119.1" customHeight="1" outlineLevel="4" x14ac:dyDescent="0.2">
      <c r="A364" s="11">
        <v>216839</v>
      </c>
      <c r="B364" s="12" t="s">
        <v>693</v>
      </c>
      <c r="C364" s="12" t="s">
        <v>50</v>
      </c>
      <c r="D364" s="13"/>
      <c r="E364" s="14" t="s">
        <v>694</v>
      </c>
      <c r="F364" s="15" t="s">
        <v>24</v>
      </c>
      <c r="G364" s="16"/>
      <c r="H364" s="36">
        <v>111.8</v>
      </c>
      <c r="I364" s="36">
        <f>ROUND(H364-(H364*I2/100),2)</f>
        <v>111.8</v>
      </c>
      <c r="J364" s="17">
        <v>115</v>
      </c>
      <c r="K364" s="18"/>
      <c r="L364" s="18"/>
      <c r="M364" s="20"/>
      <c r="N364" s="37">
        <f t="shared" si="11"/>
        <v>0</v>
      </c>
      <c r="O364" s="21">
        <v>4.3999999999999997E-2</v>
      </c>
      <c r="P364" s="22">
        <v>7.3999999999999996E-5</v>
      </c>
    </row>
    <row r="365" spans="1:16" s="1" customFormat="1" ht="119.1" customHeight="1" outlineLevel="4" x14ac:dyDescent="0.2">
      <c r="A365" s="11">
        <v>192243</v>
      </c>
      <c r="B365" s="12" t="s">
        <v>695</v>
      </c>
      <c r="C365" s="12" t="s">
        <v>22</v>
      </c>
      <c r="D365" s="13"/>
      <c r="E365" s="14" t="s">
        <v>696</v>
      </c>
      <c r="F365" s="15" t="s">
        <v>113</v>
      </c>
      <c r="G365" s="16"/>
      <c r="H365" s="36">
        <v>152.9</v>
      </c>
      <c r="I365" s="36">
        <f>ROUND(H365-(H365*I2/100),2)</f>
        <v>152.9</v>
      </c>
      <c r="J365" s="17">
        <v>316</v>
      </c>
      <c r="K365" s="18"/>
      <c r="L365" s="18"/>
      <c r="M365" s="20"/>
      <c r="N365" s="37">
        <f t="shared" si="11"/>
        <v>0</v>
      </c>
      <c r="O365" s="21">
        <v>3.5999999999999997E-2</v>
      </c>
      <c r="P365" s="22">
        <v>2.0000000000000001E-4</v>
      </c>
    </row>
    <row r="366" spans="1:16" s="1" customFormat="1" ht="119.1" customHeight="1" outlineLevel="4" x14ac:dyDescent="0.2">
      <c r="A366" s="11">
        <v>205465</v>
      </c>
      <c r="B366" s="12" t="s">
        <v>697</v>
      </c>
      <c r="C366" s="12" t="s">
        <v>22</v>
      </c>
      <c r="D366" s="13"/>
      <c r="E366" s="14" t="s">
        <v>698</v>
      </c>
      <c r="F366" s="15" t="s">
        <v>24</v>
      </c>
      <c r="G366" s="16"/>
      <c r="H366" s="36">
        <v>278.60000000000002</v>
      </c>
      <c r="I366" s="36">
        <f>ROUND(H366-(H366*I2/100),2)</f>
        <v>278.60000000000002</v>
      </c>
      <c r="J366" s="17">
        <v>128</v>
      </c>
      <c r="K366" s="18"/>
      <c r="L366" s="18"/>
      <c r="M366" s="20"/>
      <c r="N366" s="37">
        <f t="shared" si="11"/>
        <v>0</v>
      </c>
      <c r="O366" s="21">
        <v>0.1</v>
      </c>
      <c r="P366" s="22">
        <v>2.0000000000000001E-4</v>
      </c>
    </row>
    <row r="367" spans="1:16" s="1" customFormat="1" ht="119.1" customHeight="1" outlineLevel="4" x14ac:dyDescent="0.2">
      <c r="A367" s="11">
        <v>192916</v>
      </c>
      <c r="B367" s="12" t="s">
        <v>699</v>
      </c>
      <c r="C367" s="12" t="s">
        <v>22</v>
      </c>
      <c r="D367" s="13"/>
      <c r="E367" s="14" t="s">
        <v>700</v>
      </c>
      <c r="F367" s="15" t="s">
        <v>113</v>
      </c>
      <c r="G367" s="16"/>
      <c r="H367" s="36">
        <v>234.5</v>
      </c>
      <c r="I367" s="36">
        <f>ROUND(H367-(H367*I2/100),2)</f>
        <v>234.5</v>
      </c>
      <c r="J367" s="17">
        <v>169</v>
      </c>
      <c r="K367" s="18"/>
      <c r="L367" s="18"/>
      <c r="M367" s="20"/>
      <c r="N367" s="37">
        <f t="shared" si="11"/>
        <v>0</v>
      </c>
      <c r="O367" s="21">
        <v>7.1999999999999995E-2</v>
      </c>
      <c r="P367" s="22">
        <v>2.03E-4</v>
      </c>
    </row>
    <row r="368" spans="1:16" s="1" customFormat="1" ht="119.1" customHeight="1" outlineLevel="4" x14ac:dyDescent="0.2">
      <c r="A368" s="11">
        <v>205466</v>
      </c>
      <c r="B368" s="12" t="s">
        <v>701</v>
      </c>
      <c r="C368" s="12" t="s">
        <v>22</v>
      </c>
      <c r="D368" s="13"/>
      <c r="E368" s="14" t="s">
        <v>702</v>
      </c>
      <c r="F368" s="15" t="s">
        <v>24</v>
      </c>
      <c r="G368" s="16"/>
      <c r="H368" s="36">
        <v>224.5</v>
      </c>
      <c r="I368" s="36">
        <f>ROUND(H368-(H368*I2/100),2)</f>
        <v>224.5</v>
      </c>
      <c r="J368" s="17">
        <v>176</v>
      </c>
      <c r="K368" s="18"/>
      <c r="L368" s="18"/>
      <c r="M368" s="20"/>
      <c r="N368" s="37">
        <f t="shared" si="11"/>
        <v>0</v>
      </c>
      <c r="O368" s="21">
        <v>0.1</v>
      </c>
      <c r="P368" s="22">
        <v>2.0000000000000001E-4</v>
      </c>
    </row>
    <row r="369" spans="1:16" s="1" customFormat="1" ht="119.1" customHeight="1" outlineLevel="4" x14ac:dyDescent="0.2">
      <c r="A369" s="11">
        <v>165189</v>
      </c>
      <c r="B369" s="12" t="s">
        <v>703</v>
      </c>
      <c r="C369" s="12" t="s">
        <v>22</v>
      </c>
      <c r="D369" s="13"/>
      <c r="E369" s="14" t="s">
        <v>704</v>
      </c>
      <c r="F369" s="15" t="s">
        <v>113</v>
      </c>
      <c r="G369" s="16"/>
      <c r="H369" s="36">
        <v>711.8</v>
      </c>
      <c r="I369" s="36">
        <f>ROUND(H369-(H369*I2/100),2)</f>
        <v>711.8</v>
      </c>
      <c r="J369" s="17">
        <v>14</v>
      </c>
      <c r="K369" s="18"/>
      <c r="L369" s="18"/>
      <c r="M369" s="20"/>
      <c r="N369" s="37">
        <f t="shared" si="11"/>
        <v>0</v>
      </c>
      <c r="O369" s="21">
        <v>0.26300000000000001</v>
      </c>
      <c r="P369" s="22">
        <v>6.3E-5</v>
      </c>
    </row>
    <row r="370" spans="1:16" s="1" customFormat="1" ht="119.1" customHeight="1" outlineLevel="4" x14ac:dyDescent="0.2">
      <c r="A370" s="11">
        <v>212558</v>
      </c>
      <c r="B370" s="12" t="s">
        <v>705</v>
      </c>
      <c r="C370" s="12" t="s">
        <v>22</v>
      </c>
      <c r="D370" s="13"/>
      <c r="E370" s="14" t="s">
        <v>706</v>
      </c>
      <c r="F370" s="15" t="s">
        <v>113</v>
      </c>
      <c r="G370" s="16"/>
      <c r="H370" s="36">
        <v>1900.3</v>
      </c>
      <c r="I370" s="36">
        <f>ROUND(H370-(H370*I2/100),2)</f>
        <v>1900.3</v>
      </c>
      <c r="J370" s="17">
        <v>28</v>
      </c>
      <c r="K370" s="18"/>
      <c r="L370" s="18"/>
      <c r="M370" s="20"/>
      <c r="N370" s="37">
        <f t="shared" si="11"/>
        <v>0</v>
      </c>
      <c r="O370" s="21">
        <v>0.5</v>
      </c>
      <c r="P370" s="22">
        <v>1E-3</v>
      </c>
    </row>
    <row r="371" spans="1:16" s="1" customFormat="1" ht="119.1" customHeight="1" outlineLevel="4" x14ac:dyDescent="0.2">
      <c r="A371" s="11">
        <v>216935</v>
      </c>
      <c r="B371" s="12" t="s">
        <v>707</v>
      </c>
      <c r="C371" s="12" t="s">
        <v>50</v>
      </c>
      <c r="D371" s="13"/>
      <c r="E371" s="14" t="s">
        <v>708</v>
      </c>
      <c r="F371" s="15" t="s">
        <v>113</v>
      </c>
      <c r="G371" s="16"/>
      <c r="H371" s="36">
        <v>346.2</v>
      </c>
      <c r="I371" s="36">
        <f>ROUND(H371-(H371*I2/100),2)</f>
        <v>346.2</v>
      </c>
      <c r="J371" s="17">
        <v>85</v>
      </c>
      <c r="K371" s="18"/>
      <c r="L371" s="18"/>
      <c r="M371" s="20"/>
      <c r="N371" s="37">
        <f t="shared" si="11"/>
        <v>0</v>
      </c>
      <c r="O371" s="21">
        <v>0.124</v>
      </c>
      <c r="P371" s="22">
        <v>2.5000000000000001E-4</v>
      </c>
    </row>
    <row r="372" spans="1:16" s="8" customFormat="1" ht="15.95" customHeight="1" outlineLevel="3" x14ac:dyDescent="0.25">
      <c r="A372" s="9"/>
      <c r="B372" s="10"/>
      <c r="C372" s="10"/>
      <c r="D372" s="10" t="s">
        <v>709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spans="1:16" s="1" customFormat="1" ht="119.1" customHeight="1" outlineLevel="4" x14ac:dyDescent="0.2">
      <c r="A373" s="11">
        <v>197305</v>
      </c>
      <c r="B373" s="12" t="s">
        <v>710</v>
      </c>
      <c r="C373" s="12" t="s">
        <v>50</v>
      </c>
      <c r="D373" s="13"/>
      <c r="E373" s="14" t="s">
        <v>711</v>
      </c>
      <c r="F373" s="15" t="s">
        <v>24</v>
      </c>
      <c r="G373" s="16"/>
      <c r="H373" s="36">
        <v>212.5</v>
      </c>
      <c r="I373" s="36">
        <f>ROUND(H373-(H373*I2/100),2)</f>
        <v>212.5</v>
      </c>
      <c r="J373" s="17">
        <v>398</v>
      </c>
      <c r="K373" s="18"/>
      <c r="L373" s="18"/>
      <c r="M373" s="20"/>
      <c r="N373" s="37">
        <f t="shared" ref="N373:N381" si="12">I373*M373</f>
        <v>0</v>
      </c>
      <c r="O373" s="21">
        <v>0.115</v>
      </c>
      <c r="P373" s="22">
        <v>1.0579999999999999E-3</v>
      </c>
    </row>
    <row r="374" spans="1:16" s="1" customFormat="1" ht="119.1" customHeight="1" outlineLevel="4" x14ac:dyDescent="0.2">
      <c r="A374" s="11">
        <v>140122</v>
      </c>
      <c r="B374" s="12" t="s">
        <v>712</v>
      </c>
      <c r="C374" s="12" t="s">
        <v>22</v>
      </c>
      <c r="D374" s="13"/>
      <c r="E374" s="14" t="s">
        <v>713</v>
      </c>
      <c r="F374" s="15" t="s">
        <v>24</v>
      </c>
      <c r="G374" s="16"/>
      <c r="H374" s="36">
        <v>443.7</v>
      </c>
      <c r="I374" s="36">
        <f>ROUND(H374-(H374*I2/100),2)</f>
        <v>443.7</v>
      </c>
      <c r="J374" s="17">
        <v>51</v>
      </c>
      <c r="K374" s="18"/>
      <c r="L374" s="18"/>
      <c r="M374" s="20"/>
      <c r="N374" s="37">
        <f t="shared" si="12"/>
        <v>0</v>
      </c>
      <c r="O374" s="21">
        <v>0.23300000000000001</v>
      </c>
      <c r="P374" s="22">
        <v>5.1699999999999999E-4</v>
      </c>
    </row>
    <row r="375" spans="1:16" s="1" customFormat="1" ht="119.1" customHeight="1" outlineLevel="4" x14ac:dyDescent="0.2">
      <c r="A375" s="11">
        <v>169024</v>
      </c>
      <c r="B375" s="12" t="s">
        <v>714</v>
      </c>
      <c r="C375" s="12" t="s">
        <v>22</v>
      </c>
      <c r="D375" s="13"/>
      <c r="E375" s="14" t="s">
        <v>715</v>
      </c>
      <c r="F375" s="15" t="s">
        <v>24</v>
      </c>
      <c r="G375" s="16"/>
      <c r="H375" s="36">
        <v>253.2</v>
      </c>
      <c r="I375" s="36">
        <f>ROUND(H375-(H375*I2/100),2)</f>
        <v>253.2</v>
      </c>
      <c r="J375" s="17">
        <v>316</v>
      </c>
      <c r="K375" s="18"/>
      <c r="L375" s="18"/>
      <c r="M375" s="20"/>
      <c r="N375" s="37">
        <f t="shared" si="12"/>
        <v>0</v>
      </c>
      <c r="O375" s="21">
        <v>0.22500000000000001</v>
      </c>
      <c r="P375" s="22">
        <v>6.4800000000000003E-4</v>
      </c>
    </row>
    <row r="376" spans="1:16" s="1" customFormat="1" ht="119.1" customHeight="1" outlineLevel="4" x14ac:dyDescent="0.2">
      <c r="A376" s="11">
        <v>209599</v>
      </c>
      <c r="B376" s="12" t="s">
        <v>716</v>
      </c>
      <c r="C376" s="12" t="s">
        <v>22</v>
      </c>
      <c r="D376" s="13"/>
      <c r="E376" s="14" t="s">
        <v>717</v>
      </c>
      <c r="F376" s="15" t="s">
        <v>24</v>
      </c>
      <c r="G376" s="16"/>
      <c r="H376" s="36">
        <v>561.79999999999995</v>
      </c>
      <c r="I376" s="36">
        <f>ROUND(H376-(H376*I2/100),2)</f>
        <v>561.79999999999995</v>
      </c>
      <c r="J376" s="17">
        <v>142</v>
      </c>
      <c r="K376" s="18"/>
      <c r="L376" s="18"/>
      <c r="M376" s="20"/>
      <c r="N376" s="37">
        <f t="shared" si="12"/>
        <v>0</v>
      </c>
      <c r="O376" s="21">
        <v>0.3</v>
      </c>
      <c r="P376" s="22">
        <v>5.0000000000000001E-4</v>
      </c>
    </row>
    <row r="377" spans="1:16" s="1" customFormat="1" ht="119.1" customHeight="1" outlineLevel="4" x14ac:dyDescent="0.2">
      <c r="A377" s="11">
        <v>200280</v>
      </c>
      <c r="B377" s="12" t="s">
        <v>718</v>
      </c>
      <c r="C377" s="12" t="s">
        <v>50</v>
      </c>
      <c r="D377" s="13"/>
      <c r="E377" s="14" t="s">
        <v>719</v>
      </c>
      <c r="F377" s="15" t="s">
        <v>24</v>
      </c>
      <c r="G377" s="16"/>
      <c r="H377" s="36">
        <v>356.3</v>
      </c>
      <c r="I377" s="36">
        <f>ROUND(H377-(H377*I2/100),2)</f>
        <v>356.3</v>
      </c>
      <c r="J377" s="17">
        <v>17</v>
      </c>
      <c r="K377" s="18"/>
      <c r="L377" s="18"/>
      <c r="M377" s="20"/>
      <c r="N377" s="37">
        <f t="shared" si="12"/>
        <v>0</v>
      </c>
      <c r="O377" s="21">
        <v>0.30599999999999999</v>
      </c>
      <c r="P377" s="22">
        <v>8.1599999999999999E-4</v>
      </c>
    </row>
    <row r="378" spans="1:16" s="1" customFormat="1" ht="119.1" customHeight="1" outlineLevel="4" x14ac:dyDescent="0.2">
      <c r="A378" s="11">
        <v>197333</v>
      </c>
      <c r="B378" s="12" t="s">
        <v>720</v>
      </c>
      <c r="C378" s="12" t="s">
        <v>50</v>
      </c>
      <c r="D378" s="13"/>
      <c r="E378" s="14" t="s">
        <v>721</v>
      </c>
      <c r="F378" s="15" t="s">
        <v>24</v>
      </c>
      <c r="G378" s="16"/>
      <c r="H378" s="36">
        <v>254.8</v>
      </c>
      <c r="I378" s="36">
        <f>ROUND(H378-(H378*I2/100),2)</f>
        <v>254.8</v>
      </c>
      <c r="J378" s="17">
        <v>343</v>
      </c>
      <c r="K378" s="18"/>
      <c r="L378" s="18"/>
      <c r="M378" s="20"/>
      <c r="N378" s="37">
        <f t="shared" si="12"/>
        <v>0</v>
      </c>
      <c r="O378" s="21">
        <v>0.26700000000000002</v>
      </c>
      <c r="P378" s="22">
        <v>1.1720000000000001E-3</v>
      </c>
    </row>
    <row r="379" spans="1:16" s="1" customFormat="1" ht="119.1" customHeight="1" outlineLevel="4" x14ac:dyDescent="0.2">
      <c r="A379" s="11">
        <v>169025</v>
      </c>
      <c r="B379" s="12" t="s">
        <v>722</v>
      </c>
      <c r="C379" s="12" t="s">
        <v>22</v>
      </c>
      <c r="D379" s="13"/>
      <c r="E379" s="14" t="s">
        <v>723</v>
      </c>
      <c r="F379" s="15" t="s">
        <v>24</v>
      </c>
      <c r="G379" s="16"/>
      <c r="H379" s="36">
        <v>302.5</v>
      </c>
      <c r="I379" s="36">
        <f>ROUND(H379-(H379*I2/100),2)</f>
        <v>302.5</v>
      </c>
      <c r="J379" s="17">
        <v>145</v>
      </c>
      <c r="K379" s="18"/>
      <c r="L379" s="18"/>
      <c r="M379" s="20"/>
      <c r="N379" s="37">
        <f t="shared" si="12"/>
        <v>0</v>
      </c>
      <c r="O379" s="21">
        <v>0.28299999999999997</v>
      </c>
      <c r="P379" s="22">
        <v>6.0499999999999996E-4</v>
      </c>
    </row>
    <row r="380" spans="1:16" s="1" customFormat="1" ht="119.1" customHeight="1" outlineLevel="4" x14ac:dyDescent="0.2">
      <c r="A380" s="11">
        <v>140121</v>
      </c>
      <c r="B380" s="12" t="s">
        <v>724</v>
      </c>
      <c r="C380" s="12" t="s">
        <v>22</v>
      </c>
      <c r="D380" s="13"/>
      <c r="E380" s="14" t="s">
        <v>725</v>
      </c>
      <c r="F380" s="15" t="s">
        <v>24</v>
      </c>
      <c r="G380" s="16"/>
      <c r="H380" s="36">
        <v>478.9</v>
      </c>
      <c r="I380" s="36">
        <f>ROUND(H380-(H380*I2/100),2)</f>
        <v>478.9</v>
      </c>
      <c r="J380" s="17">
        <v>35</v>
      </c>
      <c r="K380" s="18"/>
      <c r="L380" s="18"/>
      <c r="M380" s="20"/>
      <c r="N380" s="37">
        <f t="shared" si="12"/>
        <v>0</v>
      </c>
      <c r="O380" s="21">
        <v>0.27800000000000002</v>
      </c>
      <c r="P380" s="22">
        <v>5.2999999999999998E-4</v>
      </c>
    </row>
    <row r="381" spans="1:16" s="1" customFormat="1" ht="119.1" customHeight="1" outlineLevel="4" x14ac:dyDescent="0.2">
      <c r="A381" s="11">
        <v>198576</v>
      </c>
      <c r="B381" s="12" t="s">
        <v>726</v>
      </c>
      <c r="C381" s="12" t="s">
        <v>22</v>
      </c>
      <c r="D381" s="13"/>
      <c r="E381" s="14" t="s">
        <v>727</v>
      </c>
      <c r="F381" s="15" t="s">
        <v>24</v>
      </c>
      <c r="G381" s="16"/>
      <c r="H381" s="36">
        <v>795.3</v>
      </c>
      <c r="I381" s="36">
        <f>ROUND(H381-(H381*I2/100),2)</f>
        <v>795.3</v>
      </c>
      <c r="J381" s="17">
        <v>130</v>
      </c>
      <c r="K381" s="18"/>
      <c r="L381" s="18"/>
      <c r="M381" s="20"/>
      <c r="N381" s="37">
        <f t="shared" si="12"/>
        <v>0</v>
      </c>
      <c r="O381" s="21">
        <v>0.50600000000000001</v>
      </c>
      <c r="P381" s="22">
        <v>1.488E-3</v>
      </c>
    </row>
    <row r="382" spans="1:16" s="8" customFormat="1" ht="15.95" customHeight="1" outlineLevel="3" x14ac:dyDescent="0.25">
      <c r="A382" s="9"/>
      <c r="B382" s="10"/>
      <c r="C382" s="10"/>
      <c r="D382" s="10" t="s">
        <v>728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spans="1:16" s="1" customFormat="1" ht="119.1" customHeight="1" outlineLevel="4" x14ac:dyDescent="0.2">
      <c r="A383" s="11">
        <v>178129</v>
      </c>
      <c r="B383" s="12" t="s">
        <v>729</v>
      </c>
      <c r="C383" s="12" t="s">
        <v>22</v>
      </c>
      <c r="D383" s="23"/>
      <c r="E383" s="24" t="s">
        <v>730</v>
      </c>
      <c r="F383" s="25" t="s">
        <v>24</v>
      </c>
      <c r="G383" s="26" t="s">
        <v>39</v>
      </c>
      <c r="H383" s="36">
        <v>4144.7700000000004</v>
      </c>
      <c r="I383" s="36">
        <f>H383</f>
        <v>4144.7700000000004</v>
      </c>
      <c r="J383" s="17">
        <v>1</v>
      </c>
      <c r="K383" s="18"/>
      <c r="L383" s="18"/>
      <c r="M383" s="20"/>
      <c r="N383" s="37">
        <f>I383*M383</f>
        <v>0</v>
      </c>
      <c r="O383" s="21">
        <v>8.42</v>
      </c>
      <c r="P383" s="22">
        <v>1.8749999999999999E-2</v>
      </c>
    </row>
    <row r="384" spans="1:16" s="8" customFormat="1" ht="15.95" customHeight="1" outlineLevel="3" x14ac:dyDescent="0.25">
      <c r="A384" s="9"/>
      <c r="B384" s="10"/>
      <c r="C384" s="10"/>
      <c r="D384" s="10" t="s">
        <v>731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spans="1:16" s="1" customFormat="1" ht="119.1" customHeight="1" outlineLevel="4" x14ac:dyDescent="0.2">
      <c r="A385" s="11">
        <v>165308</v>
      </c>
      <c r="B385" s="12" t="s">
        <v>732</v>
      </c>
      <c r="C385" s="12" t="s">
        <v>22</v>
      </c>
      <c r="D385" s="13"/>
      <c r="E385" s="14" t="s">
        <v>733</v>
      </c>
      <c r="F385" s="15" t="s">
        <v>24</v>
      </c>
      <c r="G385" s="16"/>
      <c r="H385" s="36">
        <v>342.2</v>
      </c>
      <c r="I385" s="36">
        <f>ROUND(H385-(H385*I2/100),2)</f>
        <v>342.2</v>
      </c>
      <c r="J385" s="17">
        <v>82</v>
      </c>
      <c r="K385" s="18"/>
      <c r="L385" s="18"/>
      <c r="M385" s="20"/>
      <c r="N385" s="37">
        <f t="shared" ref="N385:N392" si="13">I385*M385</f>
        <v>0</v>
      </c>
      <c r="O385" s="21">
        <v>0.66700000000000004</v>
      </c>
      <c r="P385" s="22">
        <v>9.3939999999999996E-3</v>
      </c>
    </row>
    <row r="386" spans="1:16" s="1" customFormat="1" ht="119.1" customHeight="1" outlineLevel="4" x14ac:dyDescent="0.2">
      <c r="A386" s="11">
        <v>197325</v>
      </c>
      <c r="B386" s="12" t="s">
        <v>734</v>
      </c>
      <c r="C386" s="12" t="s">
        <v>50</v>
      </c>
      <c r="D386" s="13"/>
      <c r="E386" s="14" t="s">
        <v>735</v>
      </c>
      <c r="F386" s="15" t="s">
        <v>24</v>
      </c>
      <c r="G386" s="16"/>
      <c r="H386" s="36">
        <v>359.9</v>
      </c>
      <c r="I386" s="36">
        <f>ROUND(H386-(H386*I2/100),2)</f>
        <v>359.9</v>
      </c>
      <c r="J386" s="17">
        <v>425</v>
      </c>
      <c r="K386" s="18"/>
      <c r="L386" s="18"/>
      <c r="M386" s="20"/>
      <c r="N386" s="37">
        <f t="shared" si="13"/>
        <v>0</v>
      </c>
      <c r="O386" s="21">
        <v>0.875</v>
      </c>
      <c r="P386" s="22">
        <v>1.418E-3</v>
      </c>
    </row>
    <row r="387" spans="1:16" s="1" customFormat="1" ht="119.1" customHeight="1" outlineLevel="4" x14ac:dyDescent="0.2">
      <c r="A387" s="11">
        <v>165309</v>
      </c>
      <c r="B387" s="12" t="s">
        <v>736</v>
      </c>
      <c r="C387" s="12" t="s">
        <v>22</v>
      </c>
      <c r="D387" s="13"/>
      <c r="E387" s="14" t="s">
        <v>737</v>
      </c>
      <c r="F387" s="15" t="s">
        <v>24</v>
      </c>
      <c r="G387" s="16"/>
      <c r="H387" s="36">
        <v>862.9</v>
      </c>
      <c r="I387" s="36">
        <f>ROUND(H387-(H387*I2/100),2)</f>
        <v>862.9</v>
      </c>
      <c r="J387" s="17">
        <v>87</v>
      </c>
      <c r="K387" s="18"/>
      <c r="L387" s="18"/>
      <c r="M387" s="20"/>
      <c r="N387" s="37">
        <f t="shared" si="13"/>
        <v>0</v>
      </c>
      <c r="O387" s="21">
        <v>2.1669999999999998</v>
      </c>
      <c r="P387" s="22">
        <v>2.5798999999999999E-2</v>
      </c>
    </row>
    <row r="388" spans="1:16" s="1" customFormat="1" ht="119.1" customHeight="1" outlineLevel="4" x14ac:dyDescent="0.2">
      <c r="A388" s="11">
        <v>196127</v>
      </c>
      <c r="B388" s="12" t="s">
        <v>738</v>
      </c>
      <c r="C388" s="12" t="s">
        <v>50</v>
      </c>
      <c r="D388" s="13"/>
      <c r="E388" s="14" t="s">
        <v>739</v>
      </c>
      <c r="F388" s="15" t="s">
        <v>24</v>
      </c>
      <c r="G388" s="16"/>
      <c r="H388" s="36">
        <v>447.6</v>
      </c>
      <c r="I388" s="36">
        <f>ROUND(H388-(H388*I2/100),2)</f>
        <v>447.6</v>
      </c>
      <c r="J388" s="17">
        <v>396</v>
      </c>
      <c r="K388" s="18"/>
      <c r="L388" s="18"/>
      <c r="M388" s="20"/>
      <c r="N388" s="37">
        <f t="shared" si="13"/>
        <v>0</v>
      </c>
      <c r="O388" s="21">
        <v>1.083</v>
      </c>
      <c r="P388" s="22">
        <v>1.9949999999999998E-3</v>
      </c>
    </row>
    <row r="389" spans="1:16" s="1" customFormat="1" ht="119.1" customHeight="1" outlineLevel="4" x14ac:dyDescent="0.2">
      <c r="A389" s="11">
        <v>196612</v>
      </c>
      <c r="B389" s="12" t="s">
        <v>740</v>
      </c>
      <c r="C389" s="12" t="s">
        <v>50</v>
      </c>
      <c r="D389" s="13"/>
      <c r="E389" s="14" t="s">
        <v>741</v>
      </c>
      <c r="F389" s="15" t="s">
        <v>24</v>
      </c>
      <c r="G389" s="16"/>
      <c r="H389" s="36">
        <v>648.29999999999995</v>
      </c>
      <c r="I389" s="36">
        <f>ROUND(H389-(H389*I2/100),2)</f>
        <v>648.29999999999995</v>
      </c>
      <c r="J389" s="17">
        <v>211</v>
      </c>
      <c r="K389" s="18"/>
      <c r="L389" s="18"/>
      <c r="M389" s="20"/>
      <c r="N389" s="37">
        <f t="shared" si="13"/>
        <v>0</v>
      </c>
      <c r="O389" s="21">
        <v>1.5880000000000001</v>
      </c>
      <c r="P389" s="22">
        <v>2.7750000000000001E-3</v>
      </c>
    </row>
    <row r="390" spans="1:16" s="1" customFormat="1" ht="119.1" customHeight="1" outlineLevel="4" x14ac:dyDescent="0.2">
      <c r="A390" s="11">
        <v>200285</v>
      </c>
      <c r="B390" s="12" t="s">
        <v>742</v>
      </c>
      <c r="C390" s="12" t="s">
        <v>50</v>
      </c>
      <c r="D390" s="13"/>
      <c r="E390" s="14" t="s">
        <v>743</v>
      </c>
      <c r="F390" s="15" t="s">
        <v>24</v>
      </c>
      <c r="G390" s="16"/>
      <c r="H390" s="36">
        <v>780.8</v>
      </c>
      <c r="I390" s="36">
        <f>ROUND(H390-(H390*I2/100),2)</f>
        <v>780.8</v>
      </c>
      <c r="J390" s="17">
        <v>205</v>
      </c>
      <c r="K390" s="18"/>
      <c r="L390" s="18"/>
      <c r="M390" s="20"/>
      <c r="N390" s="37">
        <f t="shared" si="13"/>
        <v>0</v>
      </c>
      <c r="O390" s="21">
        <v>2</v>
      </c>
      <c r="P390" s="22">
        <v>2E-3</v>
      </c>
    </row>
    <row r="391" spans="1:16" s="1" customFormat="1" ht="119.1" customHeight="1" outlineLevel="4" x14ac:dyDescent="0.2">
      <c r="A391" s="11">
        <v>140010</v>
      </c>
      <c r="B391" s="12" t="s">
        <v>744</v>
      </c>
      <c r="C391" s="12" t="s">
        <v>22</v>
      </c>
      <c r="D391" s="13"/>
      <c r="E391" s="14" t="s">
        <v>745</v>
      </c>
      <c r="F391" s="15" t="s">
        <v>24</v>
      </c>
      <c r="G391" s="16"/>
      <c r="H391" s="36">
        <v>1234.9000000000001</v>
      </c>
      <c r="I391" s="36">
        <f>ROUND(H391-(H391*I2/100),2)</f>
        <v>1234.9000000000001</v>
      </c>
      <c r="J391" s="17">
        <v>80</v>
      </c>
      <c r="K391" s="18"/>
      <c r="L391" s="18"/>
      <c r="M391" s="20"/>
      <c r="N391" s="37">
        <f t="shared" si="13"/>
        <v>0</v>
      </c>
      <c r="O391" s="21">
        <v>3.177</v>
      </c>
      <c r="P391" s="22">
        <v>3.8982000000000003E-2</v>
      </c>
    </row>
    <row r="392" spans="1:16" s="1" customFormat="1" ht="119.1" customHeight="1" outlineLevel="4" x14ac:dyDescent="0.2">
      <c r="A392" s="11">
        <v>165310</v>
      </c>
      <c r="B392" s="12" t="s">
        <v>746</v>
      </c>
      <c r="C392" s="12" t="s">
        <v>22</v>
      </c>
      <c r="D392" s="13"/>
      <c r="E392" s="14" t="s">
        <v>747</v>
      </c>
      <c r="F392" s="15" t="s">
        <v>24</v>
      </c>
      <c r="G392" s="16"/>
      <c r="H392" s="36">
        <v>1429.5</v>
      </c>
      <c r="I392" s="36">
        <f>ROUND(H392-(H392*I2/100),2)</f>
        <v>1429.5</v>
      </c>
      <c r="J392" s="17">
        <v>75</v>
      </c>
      <c r="K392" s="18"/>
      <c r="L392" s="18"/>
      <c r="M392" s="20"/>
      <c r="N392" s="37">
        <f t="shared" si="13"/>
        <v>0</v>
      </c>
      <c r="O392" s="21">
        <v>3.867</v>
      </c>
      <c r="P392" s="22">
        <v>5.28E-3</v>
      </c>
    </row>
    <row r="393" spans="1:16" s="8" customFormat="1" ht="15.95" customHeight="1" outlineLevel="3" x14ac:dyDescent="0.25">
      <c r="A393" s="9"/>
      <c r="B393" s="10"/>
      <c r="C393" s="10"/>
      <c r="D393" s="10" t="s">
        <v>748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spans="1:16" s="1" customFormat="1" ht="119.1" customHeight="1" outlineLevel="4" x14ac:dyDescent="0.2">
      <c r="A394" s="11">
        <v>200457</v>
      </c>
      <c r="B394" s="12" t="s">
        <v>749</v>
      </c>
      <c r="C394" s="12" t="s">
        <v>22</v>
      </c>
      <c r="D394" s="28"/>
      <c r="E394" s="29" t="s">
        <v>750</v>
      </c>
      <c r="F394" s="30" t="s">
        <v>24</v>
      </c>
      <c r="G394" s="31" t="s">
        <v>209</v>
      </c>
      <c r="H394" s="36">
        <v>1350</v>
      </c>
      <c r="I394" s="36">
        <f>ROUND(H394-(H394*I2/100),2)</f>
        <v>1350</v>
      </c>
      <c r="J394" s="17">
        <v>42</v>
      </c>
      <c r="K394" s="18"/>
      <c r="L394" s="18"/>
      <c r="M394" s="20"/>
      <c r="N394" s="37">
        <f t="shared" ref="N394:N425" si="14">I394*M394</f>
        <v>0</v>
      </c>
      <c r="O394" s="21">
        <v>1.1000000000000001</v>
      </c>
      <c r="P394" s="22">
        <v>2.0000000000000001E-4</v>
      </c>
    </row>
    <row r="395" spans="1:16" s="1" customFormat="1" ht="119.1" customHeight="1" outlineLevel="4" x14ac:dyDescent="0.2">
      <c r="A395" s="11">
        <v>188447</v>
      </c>
      <c r="B395" s="12" t="s">
        <v>751</v>
      </c>
      <c r="C395" s="12" t="s">
        <v>22</v>
      </c>
      <c r="D395" s="13"/>
      <c r="E395" s="14" t="s">
        <v>752</v>
      </c>
      <c r="F395" s="15" t="s">
        <v>24</v>
      </c>
      <c r="G395" s="16"/>
      <c r="H395" s="36">
        <v>611.9</v>
      </c>
      <c r="I395" s="36">
        <f>ROUND(H395-(H395*I2/100),2)</f>
        <v>611.9</v>
      </c>
      <c r="J395" s="17">
        <v>141</v>
      </c>
      <c r="K395" s="18"/>
      <c r="L395" s="18"/>
      <c r="M395" s="20"/>
      <c r="N395" s="37">
        <f t="shared" si="14"/>
        <v>0</v>
      </c>
      <c r="O395" s="21">
        <v>0.25</v>
      </c>
      <c r="P395" s="22">
        <v>1.8799999999999999E-4</v>
      </c>
    </row>
    <row r="396" spans="1:16" s="1" customFormat="1" ht="119.1" customHeight="1" outlineLevel="4" x14ac:dyDescent="0.2">
      <c r="A396" s="11">
        <v>169836</v>
      </c>
      <c r="B396" s="12" t="s">
        <v>753</v>
      </c>
      <c r="C396" s="12" t="s">
        <v>22</v>
      </c>
      <c r="D396" s="13"/>
      <c r="E396" s="14" t="s">
        <v>754</v>
      </c>
      <c r="F396" s="15" t="s">
        <v>24</v>
      </c>
      <c r="G396" s="16"/>
      <c r="H396" s="36">
        <v>574.29999999999995</v>
      </c>
      <c r="I396" s="36">
        <f>ROUND(H396-(H396*I2/100),2)</f>
        <v>574.29999999999995</v>
      </c>
      <c r="J396" s="17">
        <v>30</v>
      </c>
      <c r="K396" s="18"/>
      <c r="L396" s="18"/>
      <c r="M396" s="20"/>
      <c r="N396" s="37">
        <f t="shared" si="14"/>
        <v>0</v>
      </c>
      <c r="O396" s="21">
        <v>0.34</v>
      </c>
      <c r="P396" s="22">
        <v>3.6200000000000002E-4</v>
      </c>
    </row>
    <row r="397" spans="1:16" s="1" customFormat="1" ht="119.1" customHeight="1" outlineLevel="4" x14ac:dyDescent="0.2">
      <c r="A397" s="11">
        <v>207347</v>
      </c>
      <c r="B397" s="12" t="s">
        <v>755</v>
      </c>
      <c r="C397" s="12" t="s">
        <v>50</v>
      </c>
      <c r="D397" s="13"/>
      <c r="E397" s="14" t="s">
        <v>756</v>
      </c>
      <c r="F397" s="15" t="s">
        <v>24</v>
      </c>
      <c r="G397" s="16"/>
      <c r="H397" s="36">
        <v>1255.2</v>
      </c>
      <c r="I397" s="36">
        <f>ROUND(H397-(H397*I2/100),2)</f>
        <v>1255.2</v>
      </c>
      <c r="J397" s="17">
        <v>66</v>
      </c>
      <c r="K397" s="18"/>
      <c r="L397" s="18"/>
      <c r="M397" s="20"/>
      <c r="N397" s="37">
        <f t="shared" si="14"/>
        <v>0</v>
      </c>
      <c r="O397" s="21">
        <v>0.73299999999999998</v>
      </c>
      <c r="P397" s="22">
        <v>7.0600000000000003E-4</v>
      </c>
    </row>
    <row r="398" spans="1:16" s="1" customFormat="1" ht="119.1" customHeight="1" outlineLevel="4" x14ac:dyDescent="0.2">
      <c r="A398" s="11">
        <v>178154</v>
      </c>
      <c r="B398" s="12" t="s">
        <v>757</v>
      </c>
      <c r="C398" s="12" t="s">
        <v>22</v>
      </c>
      <c r="D398" s="13"/>
      <c r="E398" s="14" t="s">
        <v>758</v>
      </c>
      <c r="F398" s="15" t="s">
        <v>24</v>
      </c>
      <c r="G398" s="16"/>
      <c r="H398" s="36">
        <v>330.2</v>
      </c>
      <c r="I398" s="36">
        <f>ROUND(H398-(H398*I2/100),2)</f>
        <v>330.2</v>
      </c>
      <c r="J398" s="17">
        <v>190</v>
      </c>
      <c r="K398" s="18"/>
      <c r="L398" s="18"/>
      <c r="M398" s="20"/>
      <c r="N398" s="37">
        <f t="shared" si="14"/>
        <v>0</v>
      </c>
      <c r="O398" s="21">
        <v>0.36699999999999999</v>
      </c>
      <c r="P398" s="22">
        <v>4.9399999999999997E-4</v>
      </c>
    </row>
    <row r="399" spans="1:16" s="1" customFormat="1" ht="119.1" customHeight="1" outlineLevel="4" x14ac:dyDescent="0.2">
      <c r="A399" s="11">
        <v>178153</v>
      </c>
      <c r="B399" s="12" t="s">
        <v>759</v>
      </c>
      <c r="C399" s="12" t="s">
        <v>22</v>
      </c>
      <c r="D399" s="13"/>
      <c r="E399" s="14" t="s">
        <v>760</v>
      </c>
      <c r="F399" s="15" t="s">
        <v>24</v>
      </c>
      <c r="G399" s="16"/>
      <c r="H399" s="36">
        <v>795</v>
      </c>
      <c r="I399" s="36">
        <f>ROUND(H399-(H399*I2/100),2)</f>
        <v>795</v>
      </c>
      <c r="J399" s="17">
        <v>3</v>
      </c>
      <c r="K399" s="18"/>
      <c r="L399" s="18"/>
      <c r="M399" s="20"/>
      <c r="N399" s="37">
        <f t="shared" si="14"/>
        <v>0</v>
      </c>
      <c r="O399" s="21">
        <v>0.7</v>
      </c>
      <c r="P399" s="22">
        <v>6.7500000000000004E-4</v>
      </c>
    </row>
    <row r="400" spans="1:16" s="1" customFormat="1" ht="119.1" customHeight="1" outlineLevel="4" x14ac:dyDescent="0.2">
      <c r="A400" s="11">
        <v>165160</v>
      </c>
      <c r="B400" s="12" t="s">
        <v>761</v>
      </c>
      <c r="C400" s="12" t="s">
        <v>22</v>
      </c>
      <c r="D400" s="13"/>
      <c r="E400" s="14" t="s">
        <v>762</v>
      </c>
      <c r="F400" s="15" t="s">
        <v>24</v>
      </c>
      <c r="G400" s="16"/>
      <c r="H400" s="36">
        <v>94.7</v>
      </c>
      <c r="I400" s="36">
        <f>ROUND(H400-(H400*I2/100),2)</f>
        <v>94.7</v>
      </c>
      <c r="J400" s="17">
        <v>24</v>
      </c>
      <c r="K400" s="18"/>
      <c r="L400" s="18"/>
      <c r="M400" s="20"/>
      <c r="N400" s="37">
        <f t="shared" si="14"/>
        <v>0</v>
      </c>
      <c r="O400" s="21">
        <v>5.8000000000000003E-2</v>
      </c>
      <c r="P400" s="22">
        <v>1.8E-5</v>
      </c>
    </row>
    <row r="401" spans="1:16" s="1" customFormat="1" ht="119.1" customHeight="1" outlineLevel="4" x14ac:dyDescent="0.2">
      <c r="A401" s="11">
        <v>165161</v>
      </c>
      <c r="B401" s="12" t="s">
        <v>763</v>
      </c>
      <c r="C401" s="12" t="s">
        <v>22</v>
      </c>
      <c r="D401" s="13"/>
      <c r="E401" s="14" t="s">
        <v>764</v>
      </c>
      <c r="F401" s="15" t="s">
        <v>24</v>
      </c>
      <c r="G401" s="16"/>
      <c r="H401" s="36">
        <v>82.1</v>
      </c>
      <c r="I401" s="36">
        <f>ROUND(H401-(H401*I2/100),2)</f>
        <v>82.1</v>
      </c>
      <c r="J401" s="17">
        <v>79</v>
      </c>
      <c r="K401" s="18"/>
      <c r="L401" s="18"/>
      <c r="M401" s="20"/>
      <c r="N401" s="37">
        <f t="shared" si="14"/>
        <v>0</v>
      </c>
      <c r="O401" s="21">
        <v>5.7000000000000002E-2</v>
      </c>
      <c r="P401" s="22">
        <v>1.8E-5</v>
      </c>
    </row>
    <row r="402" spans="1:16" s="1" customFormat="1" ht="119.1" customHeight="1" outlineLevel="4" x14ac:dyDescent="0.2">
      <c r="A402" s="11">
        <v>186150</v>
      </c>
      <c r="B402" s="12" t="s">
        <v>765</v>
      </c>
      <c r="C402" s="12" t="s">
        <v>22</v>
      </c>
      <c r="D402" s="13"/>
      <c r="E402" s="14" t="s">
        <v>766</v>
      </c>
      <c r="F402" s="15" t="s">
        <v>24</v>
      </c>
      <c r="G402" s="16"/>
      <c r="H402" s="36">
        <v>90.6</v>
      </c>
      <c r="I402" s="36">
        <f>ROUND(H402-(H402*I2/100),2)</f>
        <v>90.6</v>
      </c>
      <c r="J402" s="17">
        <v>202</v>
      </c>
      <c r="K402" s="18"/>
      <c r="L402" s="18"/>
      <c r="M402" s="20"/>
      <c r="N402" s="37">
        <f t="shared" si="14"/>
        <v>0</v>
      </c>
      <c r="O402" s="21">
        <v>5.8000000000000003E-2</v>
      </c>
      <c r="P402" s="22">
        <v>1.8E-5</v>
      </c>
    </row>
    <row r="403" spans="1:16" s="1" customFormat="1" ht="119.1" customHeight="1" outlineLevel="4" x14ac:dyDescent="0.2">
      <c r="A403" s="11">
        <v>165162</v>
      </c>
      <c r="B403" s="12" t="s">
        <v>767</v>
      </c>
      <c r="C403" s="12" t="s">
        <v>22</v>
      </c>
      <c r="D403" s="13"/>
      <c r="E403" s="14" t="s">
        <v>768</v>
      </c>
      <c r="F403" s="15" t="s">
        <v>24</v>
      </c>
      <c r="G403" s="16"/>
      <c r="H403" s="36">
        <v>81.2</v>
      </c>
      <c r="I403" s="36">
        <f>ROUND(H403-(H403*I2/100),2)</f>
        <v>81.2</v>
      </c>
      <c r="J403" s="17">
        <v>109</v>
      </c>
      <c r="K403" s="18"/>
      <c r="L403" s="18"/>
      <c r="M403" s="20"/>
      <c r="N403" s="37">
        <f t="shared" si="14"/>
        <v>0</v>
      </c>
      <c r="O403" s="21">
        <v>0.06</v>
      </c>
      <c r="P403" s="22">
        <v>1.8E-5</v>
      </c>
    </row>
    <row r="404" spans="1:16" s="1" customFormat="1" ht="119.1" customHeight="1" outlineLevel="4" x14ac:dyDescent="0.2">
      <c r="A404" s="11">
        <v>165163</v>
      </c>
      <c r="B404" s="12" t="s">
        <v>769</v>
      </c>
      <c r="C404" s="12" t="s">
        <v>22</v>
      </c>
      <c r="D404" s="13"/>
      <c r="E404" s="14" t="s">
        <v>770</v>
      </c>
      <c r="F404" s="15" t="s">
        <v>24</v>
      </c>
      <c r="G404" s="16"/>
      <c r="H404" s="36">
        <v>93.3</v>
      </c>
      <c r="I404" s="36">
        <f>ROUND(H404-(H404*I2/100),2)</f>
        <v>93.3</v>
      </c>
      <c r="J404" s="17">
        <v>192</v>
      </c>
      <c r="K404" s="18"/>
      <c r="L404" s="18"/>
      <c r="M404" s="20"/>
      <c r="N404" s="37">
        <f t="shared" si="14"/>
        <v>0</v>
      </c>
      <c r="O404" s="21">
        <v>6.3E-2</v>
      </c>
      <c r="P404" s="22">
        <v>1.8E-5</v>
      </c>
    </row>
    <row r="405" spans="1:16" s="1" customFormat="1" ht="119.1" customHeight="1" outlineLevel="4" x14ac:dyDescent="0.2">
      <c r="A405" s="11">
        <v>178147</v>
      </c>
      <c r="B405" s="12" t="s">
        <v>771</v>
      </c>
      <c r="C405" s="12" t="s">
        <v>22</v>
      </c>
      <c r="D405" s="13"/>
      <c r="E405" s="14" t="s">
        <v>772</v>
      </c>
      <c r="F405" s="15" t="s">
        <v>24</v>
      </c>
      <c r="G405" s="16"/>
      <c r="H405" s="36">
        <v>92.8</v>
      </c>
      <c r="I405" s="36">
        <f>ROUND(H405-(H405*I2/100),2)</f>
        <v>92.8</v>
      </c>
      <c r="J405" s="17">
        <v>69</v>
      </c>
      <c r="K405" s="18"/>
      <c r="L405" s="18"/>
      <c r="M405" s="20"/>
      <c r="N405" s="37">
        <f t="shared" si="14"/>
        <v>0</v>
      </c>
      <c r="O405" s="21">
        <v>6.4000000000000001E-2</v>
      </c>
      <c r="P405" s="22">
        <v>1.8E-5</v>
      </c>
    </row>
    <row r="406" spans="1:16" s="1" customFormat="1" ht="119.1" customHeight="1" outlineLevel="4" x14ac:dyDescent="0.2">
      <c r="A406" s="11">
        <v>165165</v>
      </c>
      <c r="B406" s="12" t="s">
        <v>773</v>
      </c>
      <c r="C406" s="12" t="s">
        <v>22</v>
      </c>
      <c r="D406" s="13"/>
      <c r="E406" s="14" t="s">
        <v>774</v>
      </c>
      <c r="F406" s="15" t="s">
        <v>24</v>
      </c>
      <c r="G406" s="16"/>
      <c r="H406" s="36">
        <v>90.6</v>
      </c>
      <c r="I406" s="36">
        <f>ROUND(H406-(H406*I2/100),2)</f>
        <v>90.6</v>
      </c>
      <c r="J406" s="17">
        <v>29</v>
      </c>
      <c r="K406" s="18"/>
      <c r="L406" s="18"/>
      <c r="M406" s="20"/>
      <c r="N406" s="37">
        <f t="shared" si="14"/>
        <v>0</v>
      </c>
      <c r="O406" s="21">
        <v>6.3E-2</v>
      </c>
      <c r="P406" s="22">
        <v>1.8E-5</v>
      </c>
    </row>
    <row r="407" spans="1:16" s="1" customFormat="1" ht="119.1" customHeight="1" outlineLevel="4" x14ac:dyDescent="0.2">
      <c r="A407" s="11">
        <v>190730</v>
      </c>
      <c r="B407" s="12" t="s">
        <v>775</v>
      </c>
      <c r="C407" s="12" t="s">
        <v>22</v>
      </c>
      <c r="D407" s="13"/>
      <c r="E407" s="14" t="s">
        <v>776</v>
      </c>
      <c r="F407" s="15" t="s">
        <v>24</v>
      </c>
      <c r="G407" s="16"/>
      <c r="H407" s="36">
        <v>89.3</v>
      </c>
      <c r="I407" s="36">
        <f>ROUND(H407-(H407*I2/100),2)</f>
        <v>89.3</v>
      </c>
      <c r="J407" s="17">
        <v>207</v>
      </c>
      <c r="K407" s="18"/>
      <c r="L407" s="18"/>
      <c r="M407" s="20"/>
      <c r="N407" s="37">
        <f t="shared" si="14"/>
        <v>0</v>
      </c>
      <c r="O407" s="21">
        <v>6.2E-2</v>
      </c>
      <c r="P407" s="22">
        <v>1.8E-5</v>
      </c>
    </row>
    <row r="408" spans="1:16" s="1" customFormat="1" ht="119.1" customHeight="1" outlineLevel="4" x14ac:dyDescent="0.2">
      <c r="A408" s="11">
        <v>178148</v>
      </c>
      <c r="B408" s="12" t="s">
        <v>777</v>
      </c>
      <c r="C408" s="12" t="s">
        <v>22</v>
      </c>
      <c r="D408" s="13"/>
      <c r="E408" s="14" t="s">
        <v>778</v>
      </c>
      <c r="F408" s="15" t="s">
        <v>24</v>
      </c>
      <c r="G408" s="16"/>
      <c r="H408" s="36">
        <v>102.8</v>
      </c>
      <c r="I408" s="36">
        <f>ROUND(H408-(H408*I2/100),2)</f>
        <v>102.8</v>
      </c>
      <c r="J408" s="17">
        <v>84</v>
      </c>
      <c r="K408" s="18"/>
      <c r="L408" s="18"/>
      <c r="M408" s="20"/>
      <c r="N408" s="37">
        <f t="shared" si="14"/>
        <v>0</v>
      </c>
      <c r="O408" s="21">
        <v>7.3999999999999996E-2</v>
      </c>
      <c r="P408" s="22">
        <v>2.1999999999999999E-5</v>
      </c>
    </row>
    <row r="409" spans="1:16" s="1" customFormat="1" ht="119.1" customHeight="1" outlineLevel="4" x14ac:dyDescent="0.2">
      <c r="A409" s="11">
        <v>165166</v>
      </c>
      <c r="B409" s="12" t="s">
        <v>779</v>
      </c>
      <c r="C409" s="12" t="s">
        <v>22</v>
      </c>
      <c r="D409" s="13"/>
      <c r="E409" s="14" t="s">
        <v>780</v>
      </c>
      <c r="F409" s="15" t="s">
        <v>24</v>
      </c>
      <c r="G409" s="16"/>
      <c r="H409" s="36">
        <v>115</v>
      </c>
      <c r="I409" s="36">
        <f>ROUND(H409-(H409*I2/100),2)</f>
        <v>115</v>
      </c>
      <c r="J409" s="17">
        <v>157</v>
      </c>
      <c r="K409" s="18"/>
      <c r="L409" s="18"/>
      <c r="M409" s="20"/>
      <c r="N409" s="37">
        <f t="shared" si="14"/>
        <v>0</v>
      </c>
      <c r="O409" s="21">
        <v>8.8999999999999996E-2</v>
      </c>
      <c r="P409" s="22">
        <v>2.5999999999999998E-5</v>
      </c>
    </row>
    <row r="410" spans="1:16" s="1" customFormat="1" ht="119.1" customHeight="1" outlineLevel="4" x14ac:dyDescent="0.2">
      <c r="A410" s="11">
        <v>189977</v>
      </c>
      <c r="B410" s="12" t="s">
        <v>781</v>
      </c>
      <c r="C410" s="12" t="s">
        <v>22</v>
      </c>
      <c r="D410" s="13"/>
      <c r="E410" s="14" t="s">
        <v>782</v>
      </c>
      <c r="F410" s="15" t="s">
        <v>24</v>
      </c>
      <c r="G410" s="16"/>
      <c r="H410" s="36">
        <v>106.9</v>
      </c>
      <c r="I410" s="36">
        <f>ROUND(H410-(H410*I2/100),2)</f>
        <v>106.9</v>
      </c>
      <c r="J410" s="17">
        <v>126</v>
      </c>
      <c r="K410" s="18"/>
      <c r="L410" s="18"/>
      <c r="M410" s="20"/>
      <c r="N410" s="37">
        <f t="shared" si="14"/>
        <v>0</v>
      </c>
      <c r="O410" s="21">
        <v>7.4999999999999997E-2</v>
      </c>
      <c r="P410" s="22">
        <v>2.5999999999999998E-5</v>
      </c>
    </row>
    <row r="411" spans="1:16" s="1" customFormat="1" ht="119.1" customHeight="1" outlineLevel="4" x14ac:dyDescent="0.2">
      <c r="A411" s="11">
        <v>165167</v>
      </c>
      <c r="B411" s="12" t="s">
        <v>783</v>
      </c>
      <c r="C411" s="12" t="s">
        <v>22</v>
      </c>
      <c r="D411" s="13"/>
      <c r="E411" s="14" t="s">
        <v>784</v>
      </c>
      <c r="F411" s="15" t="s">
        <v>24</v>
      </c>
      <c r="G411" s="16"/>
      <c r="H411" s="36">
        <v>106.1</v>
      </c>
      <c r="I411" s="36">
        <f>ROUND(H411-(H411*I2/100),2)</f>
        <v>106.1</v>
      </c>
      <c r="J411" s="17">
        <v>79</v>
      </c>
      <c r="K411" s="18"/>
      <c r="L411" s="18"/>
      <c r="M411" s="20"/>
      <c r="N411" s="37">
        <f t="shared" si="14"/>
        <v>0</v>
      </c>
      <c r="O411" s="21">
        <v>8.6999999999999994E-2</v>
      </c>
      <c r="P411" s="22">
        <v>3.0000000000000001E-5</v>
      </c>
    </row>
    <row r="412" spans="1:16" s="1" customFormat="1" ht="119.1" customHeight="1" outlineLevel="4" x14ac:dyDescent="0.2">
      <c r="A412" s="11">
        <v>165168</v>
      </c>
      <c r="B412" s="12" t="s">
        <v>785</v>
      </c>
      <c r="C412" s="12" t="s">
        <v>22</v>
      </c>
      <c r="D412" s="13"/>
      <c r="E412" s="14" t="s">
        <v>786</v>
      </c>
      <c r="F412" s="15" t="s">
        <v>24</v>
      </c>
      <c r="G412" s="16"/>
      <c r="H412" s="36">
        <v>117.6</v>
      </c>
      <c r="I412" s="36">
        <f>ROUND(H412-(H412*I2/100),2)</f>
        <v>117.6</v>
      </c>
      <c r="J412" s="17">
        <v>152</v>
      </c>
      <c r="K412" s="18"/>
      <c r="L412" s="18"/>
      <c r="M412" s="20"/>
      <c r="N412" s="37">
        <f t="shared" si="14"/>
        <v>0</v>
      </c>
      <c r="O412" s="21">
        <v>8.4000000000000005E-2</v>
      </c>
      <c r="P412" s="22">
        <v>3.0000000000000001E-5</v>
      </c>
    </row>
    <row r="413" spans="1:16" s="1" customFormat="1" ht="119.1" customHeight="1" outlineLevel="4" x14ac:dyDescent="0.2">
      <c r="A413" s="11">
        <v>165169</v>
      </c>
      <c r="B413" s="12" t="s">
        <v>787</v>
      </c>
      <c r="C413" s="12" t="s">
        <v>22</v>
      </c>
      <c r="D413" s="13"/>
      <c r="E413" s="14" t="s">
        <v>788</v>
      </c>
      <c r="F413" s="15" t="s">
        <v>24</v>
      </c>
      <c r="G413" s="16"/>
      <c r="H413" s="36">
        <v>140.69999999999999</v>
      </c>
      <c r="I413" s="36">
        <f>ROUND(H413-(H413*I2/100),2)</f>
        <v>140.69999999999999</v>
      </c>
      <c r="J413" s="17">
        <v>45</v>
      </c>
      <c r="K413" s="18"/>
      <c r="L413" s="18"/>
      <c r="M413" s="20"/>
      <c r="N413" s="37">
        <f t="shared" si="14"/>
        <v>0</v>
      </c>
      <c r="O413" s="21">
        <v>9.9000000000000005E-2</v>
      </c>
      <c r="P413" s="22">
        <v>3.4E-5</v>
      </c>
    </row>
    <row r="414" spans="1:16" s="1" customFormat="1" ht="119.1" customHeight="1" outlineLevel="4" x14ac:dyDescent="0.2">
      <c r="A414" s="11">
        <v>165170</v>
      </c>
      <c r="B414" s="12" t="s">
        <v>789</v>
      </c>
      <c r="C414" s="12" t="s">
        <v>22</v>
      </c>
      <c r="D414" s="13"/>
      <c r="E414" s="14" t="s">
        <v>790</v>
      </c>
      <c r="F414" s="15" t="s">
        <v>24</v>
      </c>
      <c r="G414" s="16"/>
      <c r="H414" s="36">
        <v>150.30000000000001</v>
      </c>
      <c r="I414" s="36">
        <f>ROUND(H414-(H414*I2/100),2)</f>
        <v>150.30000000000001</v>
      </c>
      <c r="J414" s="17">
        <v>35</v>
      </c>
      <c r="K414" s="18"/>
      <c r="L414" s="18"/>
      <c r="M414" s="20"/>
      <c r="N414" s="37">
        <f t="shared" si="14"/>
        <v>0</v>
      </c>
      <c r="O414" s="21">
        <v>0.11</v>
      </c>
      <c r="P414" s="22">
        <v>3.8999999999999999E-5</v>
      </c>
    </row>
    <row r="415" spans="1:16" s="1" customFormat="1" ht="119.1" customHeight="1" outlineLevel="4" x14ac:dyDescent="0.2">
      <c r="A415" s="11">
        <v>165171</v>
      </c>
      <c r="B415" s="12" t="s">
        <v>791</v>
      </c>
      <c r="C415" s="12" t="s">
        <v>22</v>
      </c>
      <c r="D415" s="13"/>
      <c r="E415" s="14" t="s">
        <v>792</v>
      </c>
      <c r="F415" s="15" t="s">
        <v>24</v>
      </c>
      <c r="G415" s="16"/>
      <c r="H415" s="36">
        <v>148.80000000000001</v>
      </c>
      <c r="I415" s="36">
        <f>ROUND(H415-(H415*I2/100),2)</f>
        <v>148.80000000000001</v>
      </c>
      <c r="J415" s="17">
        <v>99</v>
      </c>
      <c r="K415" s="18"/>
      <c r="L415" s="18"/>
      <c r="M415" s="20"/>
      <c r="N415" s="37">
        <f t="shared" si="14"/>
        <v>0</v>
      </c>
      <c r="O415" s="21">
        <v>0.108</v>
      </c>
      <c r="P415" s="22">
        <v>3.8999999999999999E-5</v>
      </c>
    </row>
    <row r="416" spans="1:16" s="1" customFormat="1" ht="119.1" customHeight="1" outlineLevel="4" x14ac:dyDescent="0.2">
      <c r="A416" s="11">
        <v>165172</v>
      </c>
      <c r="B416" s="12" t="s">
        <v>793</v>
      </c>
      <c r="C416" s="12" t="s">
        <v>22</v>
      </c>
      <c r="D416" s="13"/>
      <c r="E416" s="14" t="s">
        <v>794</v>
      </c>
      <c r="F416" s="15" t="s">
        <v>24</v>
      </c>
      <c r="G416" s="16"/>
      <c r="H416" s="36">
        <v>173.2</v>
      </c>
      <c r="I416" s="36">
        <f>ROUND(H416-(H416*I2/100),2)</f>
        <v>173.2</v>
      </c>
      <c r="J416" s="17">
        <v>100</v>
      </c>
      <c r="K416" s="18"/>
      <c r="L416" s="18"/>
      <c r="M416" s="20"/>
      <c r="N416" s="37">
        <f t="shared" si="14"/>
        <v>0</v>
      </c>
      <c r="O416" s="21">
        <v>0.14099999999999999</v>
      </c>
      <c r="P416" s="22">
        <v>4.6999999999999997E-5</v>
      </c>
    </row>
    <row r="417" spans="1:16" s="1" customFormat="1" ht="119.1" customHeight="1" outlineLevel="4" x14ac:dyDescent="0.2">
      <c r="A417" s="11">
        <v>165173</v>
      </c>
      <c r="B417" s="12" t="s">
        <v>795</v>
      </c>
      <c r="C417" s="12" t="s">
        <v>22</v>
      </c>
      <c r="D417" s="13"/>
      <c r="E417" s="14" t="s">
        <v>796</v>
      </c>
      <c r="F417" s="15" t="s">
        <v>24</v>
      </c>
      <c r="G417" s="16"/>
      <c r="H417" s="36">
        <v>189.3</v>
      </c>
      <c r="I417" s="36">
        <f>ROUND(H417-(H417*I2/100),2)</f>
        <v>189.3</v>
      </c>
      <c r="J417" s="17">
        <v>18</v>
      </c>
      <c r="K417" s="18"/>
      <c r="L417" s="18"/>
      <c r="M417" s="20"/>
      <c r="N417" s="37">
        <f t="shared" si="14"/>
        <v>0</v>
      </c>
      <c r="O417" s="21">
        <v>0.16300000000000001</v>
      </c>
      <c r="P417" s="22">
        <v>5.3000000000000001E-5</v>
      </c>
    </row>
    <row r="418" spans="1:16" s="1" customFormat="1" ht="119.1" customHeight="1" outlineLevel="4" x14ac:dyDescent="0.2">
      <c r="A418" s="11">
        <v>165174</v>
      </c>
      <c r="B418" s="12" t="s">
        <v>797</v>
      </c>
      <c r="C418" s="12" t="s">
        <v>22</v>
      </c>
      <c r="D418" s="13"/>
      <c r="E418" s="14" t="s">
        <v>798</v>
      </c>
      <c r="F418" s="15" t="s">
        <v>24</v>
      </c>
      <c r="G418" s="16"/>
      <c r="H418" s="36">
        <v>198.7</v>
      </c>
      <c r="I418" s="36">
        <f>ROUND(H418-(H418*I2/100),2)</f>
        <v>198.7</v>
      </c>
      <c r="J418" s="17">
        <v>4</v>
      </c>
      <c r="K418" s="18"/>
      <c r="L418" s="18"/>
      <c r="M418" s="20"/>
      <c r="N418" s="37">
        <f t="shared" si="14"/>
        <v>0</v>
      </c>
      <c r="O418" s="21">
        <v>0.17</v>
      </c>
      <c r="P418" s="22">
        <v>5.5999999999999999E-5</v>
      </c>
    </row>
    <row r="419" spans="1:16" s="1" customFormat="1" ht="119.1" customHeight="1" outlineLevel="4" x14ac:dyDescent="0.2">
      <c r="A419" s="11">
        <v>165175</v>
      </c>
      <c r="B419" s="12" t="s">
        <v>799</v>
      </c>
      <c r="C419" s="12" t="s">
        <v>22</v>
      </c>
      <c r="D419" s="13"/>
      <c r="E419" s="14" t="s">
        <v>800</v>
      </c>
      <c r="F419" s="15" t="s">
        <v>24</v>
      </c>
      <c r="G419" s="16"/>
      <c r="H419" s="36">
        <v>242.2</v>
      </c>
      <c r="I419" s="36">
        <f>ROUND(H419-(H419*I2/100),2)</f>
        <v>242.2</v>
      </c>
      <c r="J419" s="17">
        <v>8</v>
      </c>
      <c r="K419" s="18"/>
      <c r="L419" s="18"/>
      <c r="M419" s="20"/>
      <c r="N419" s="37">
        <f t="shared" si="14"/>
        <v>0</v>
      </c>
      <c r="O419" s="21">
        <v>0.18099999999999999</v>
      </c>
      <c r="P419" s="22">
        <v>6.3999999999999997E-5</v>
      </c>
    </row>
    <row r="420" spans="1:16" s="1" customFormat="1" ht="119.1" customHeight="1" outlineLevel="4" x14ac:dyDescent="0.2">
      <c r="A420" s="11">
        <v>165176</v>
      </c>
      <c r="B420" s="12" t="s">
        <v>801</v>
      </c>
      <c r="C420" s="12" t="s">
        <v>22</v>
      </c>
      <c r="D420" s="13"/>
      <c r="E420" s="14" t="s">
        <v>802</v>
      </c>
      <c r="F420" s="15" t="s">
        <v>24</v>
      </c>
      <c r="G420" s="16"/>
      <c r="H420" s="36">
        <v>244.8</v>
      </c>
      <c r="I420" s="36">
        <f>ROUND(H420-(H420*I2/100),2)</f>
        <v>244.8</v>
      </c>
      <c r="J420" s="17">
        <v>7</v>
      </c>
      <c r="K420" s="18"/>
      <c r="L420" s="18"/>
      <c r="M420" s="20"/>
      <c r="N420" s="37">
        <f t="shared" si="14"/>
        <v>0</v>
      </c>
      <c r="O420" s="21">
        <v>0.17399999999999999</v>
      </c>
      <c r="P420" s="22">
        <v>6.3999999999999997E-5</v>
      </c>
    </row>
    <row r="421" spans="1:16" s="1" customFormat="1" ht="119.1" customHeight="1" outlineLevel="4" x14ac:dyDescent="0.2">
      <c r="A421" s="11">
        <v>165177</v>
      </c>
      <c r="B421" s="12" t="s">
        <v>803</v>
      </c>
      <c r="C421" s="12" t="s">
        <v>22</v>
      </c>
      <c r="D421" s="13"/>
      <c r="E421" s="14" t="s">
        <v>804</v>
      </c>
      <c r="F421" s="15" t="s">
        <v>24</v>
      </c>
      <c r="G421" s="16"/>
      <c r="H421" s="36">
        <v>256.89999999999998</v>
      </c>
      <c r="I421" s="36">
        <f>ROUND(H421-(H421*I2/100),2)</f>
        <v>256.89999999999998</v>
      </c>
      <c r="J421" s="17">
        <v>74</v>
      </c>
      <c r="K421" s="18"/>
      <c r="L421" s="18"/>
      <c r="M421" s="20"/>
      <c r="N421" s="37">
        <f t="shared" si="14"/>
        <v>0</v>
      </c>
      <c r="O421" s="21">
        <v>0.191</v>
      </c>
      <c r="P421" s="22">
        <v>6.9999999999999994E-5</v>
      </c>
    </row>
    <row r="422" spans="1:16" s="1" customFormat="1" ht="119.1" customHeight="1" outlineLevel="4" x14ac:dyDescent="0.2">
      <c r="A422" s="11">
        <v>165178</v>
      </c>
      <c r="B422" s="12" t="s">
        <v>805</v>
      </c>
      <c r="C422" s="12" t="s">
        <v>22</v>
      </c>
      <c r="D422" s="13"/>
      <c r="E422" s="14" t="s">
        <v>806</v>
      </c>
      <c r="F422" s="15" t="s">
        <v>24</v>
      </c>
      <c r="G422" s="16"/>
      <c r="H422" s="36">
        <v>279.89999999999998</v>
      </c>
      <c r="I422" s="36">
        <f>ROUND(H422-(H422*I2/100),2)</f>
        <v>279.89999999999998</v>
      </c>
      <c r="J422" s="17">
        <v>12</v>
      </c>
      <c r="K422" s="18"/>
      <c r="L422" s="18"/>
      <c r="M422" s="20"/>
      <c r="N422" s="37">
        <f t="shared" si="14"/>
        <v>0</v>
      </c>
      <c r="O422" s="21">
        <v>0.21299999999999999</v>
      </c>
      <c r="P422" s="22">
        <v>6.9999999999999994E-5</v>
      </c>
    </row>
    <row r="423" spans="1:16" s="1" customFormat="1" ht="119.1" customHeight="1" outlineLevel="4" x14ac:dyDescent="0.2">
      <c r="A423" s="11">
        <v>186127</v>
      </c>
      <c r="B423" s="12" t="s">
        <v>807</v>
      </c>
      <c r="C423" s="12" t="s">
        <v>22</v>
      </c>
      <c r="D423" s="13"/>
      <c r="E423" s="14" t="s">
        <v>808</v>
      </c>
      <c r="F423" s="15" t="s">
        <v>24</v>
      </c>
      <c r="G423" s="16"/>
      <c r="H423" s="36">
        <v>205.5</v>
      </c>
      <c r="I423" s="36">
        <f>ROUND(H423-(H423*I2/100),2)</f>
        <v>205.5</v>
      </c>
      <c r="J423" s="17">
        <v>57</v>
      </c>
      <c r="K423" s="18"/>
      <c r="L423" s="18"/>
      <c r="M423" s="20"/>
      <c r="N423" s="37">
        <f t="shared" si="14"/>
        <v>0</v>
      </c>
      <c r="O423" s="21">
        <v>0.13</v>
      </c>
      <c r="P423" s="22">
        <v>9.5000000000000005E-5</v>
      </c>
    </row>
    <row r="424" spans="1:16" s="1" customFormat="1" ht="119.1" customHeight="1" outlineLevel="4" x14ac:dyDescent="0.2">
      <c r="A424" s="11">
        <v>186131</v>
      </c>
      <c r="B424" s="12" t="s">
        <v>809</v>
      </c>
      <c r="C424" s="12" t="s">
        <v>22</v>
      </c>
      <c r="D424" s="13"/>
      <c r="E424" s="14" t="s">
        <v>810</v>
      </c>
      <c r="F424" s="15" t="s">
        <v>24</v>
      </c>
      <c r="G424" s="16"/>
      <c r="H424" s="36">
        <v>209.1</v>
      </c>
      <c r="I424" s="36">
        <f>ROUND(H424-(H424*I2/100),2)</f>
        <v>209.1</v>
      </c>
      <c r="J424" s="17">
        <v>54</v>
      </c>
      <c r="K424" s="18"/>
      <c r="L424" s="18"/>
      <c r="M424" s="20"/>
      <c r="N424" s="37">
        <f t="shared" si="14"/>
        <v>0</v>
      </c>
      <c r="O424" s="21">
        <v>0.16300000000000001</v>
      </c>
      <c r="P424" s="22">
        <v>9.5000000000000005E-5</v>
      </c>
    </row>
    <row r="425" spans="1:16" s="1" customFormat="1" ht="119.1" customHeight="1" outlineLevel="4" x14ac:dyDescent="0.2">
      <c r="A425" s="11">
        <v>186132</v>
      </c>
      <c r="B425" s="12" t="s">
        <v>811</v>
      </c>
      <c r="C425" s="12" t="s">
        <v>22</v>
      </c>
      <c r="D425" s="13"/>
      <c r="E425" s="14" t="s">
        <v>812</v>
      </c>
      <c r="F425" s="15" t="s">
        <v>24</v>
      </c>
      <c r="G425" s="16"/>
      <c r="H425" s="36">
        <v>219.6</v>
      </c>
      <c r="I425" s="36">
        <f>ROUND(H425-(H425*I2/100),2)</f>
        <v>219.6</v>
      </c>
      <c r="J425" s="17">
        <v>47</v>
      </c>
      <c r="K425" s="18"/>
      <c r="L425" s="18"/>
      <c r="M425" s="20"/>
      <c r="N425" s="37">
        <f t="shared" si="14"/>
        <v>0</v>
      </c>
      <c r="O425" s="21">
        <v>0.17899999999999999</v>
      </c>
      <c r="P425" s="22">
        <v>9.5000000000000005E-5</v>
      </c>
    </row>
    <row r="426" spans="1:16" s="1" customFormat="1" ht="119.1" customHeight="1" outlineLevel="4" x14ac:dyDescent="0.2">
      <c r="A426" s="11">
        <v>186136</v>
      </c>
      <c r="B426" s="12" t="s">
        <v>813</v>
      </c>
      <c r="C426" s="12" t="s">
        <v>22</v>
      </c>
      <c r="D426" s="13"/>
      <c r="E426" s="14" t="s">
        <v>814</v>
      </c>
      <c r="F426" s="15" t="s">
        <v>24</v>
      </c>
      <c r="G426" s="16"/>
      <c r="H426" s="36">
        <v>306.8</v>
      </c>
      <c r="I426" s="36">
        <f>ROUND(H426-(H426*I2/100),2)</f>
        <v>306.8</v>
      </c>
      <c r="J426" s="17">
        <v>43</v>
      </c>
      <c r="K426" s="18"/>
      <c r="L426" s="18"/>
      <c r="M426" s="20"/>
      <c r="N426" s="37">
        <f t="shared" ref="N426:N457" si="15">I426*M426</f>
        <v>0</v>
      </c>
      <c r="O426" s="21">
        <v>0.27200000000000002</v>
      </c>
      <c r="P426" s="22">
        <v>1.56E-4</v>
      </c>
    </row>
    <row r="427" spans="1:16" s="1" customFormat="1" ht="119.1" customHeight="1" outlineLevel="4" x14ac:dyDescent="0.2">
      <c r="A427" s="11">
        <v>186138</v>
      </c>
      <c r="B427" s="12" t="s">
        <v>815</v>
      </c>
      <c r="C427" s="12" t="s">
        <v>22</v>
      </c>
      <c r="D427" s="13"/>
      <c r="E427" s="14" t="s">
        <v>816</v>
      </c>
      <c r="F427" s="15" t="s">
        <v>24</v>
      </c>
      <c r="G427" s="16"/>
      <c r="H427" s="36">
        <v>477.5</v>
      </c>
      <c r="I427" s="36">
        <f>ROUND(H427-(H427*I2/100),2)</f>
        <v>477.5</v>
      </c>
      <c r="J427" s="17">
        <v>69</v>
      </c>
      <c r="K427" s="18"/>
      <c r="L427" s="18"/>
      <c r="M427" s="20"/>
      <c r="N427" s="37">
        <f t="shared" si="15"/>
        <v>0</v>
      </c>
      <c r="O427" s="21">
        <v>0.32300000000000001</v>
      </c>
      <c r="P427" s="22">
        <v>2.1900000000000001E-4</v>
      </c>
    </row>
    <row r="428" spans="1:16" s="1" customFormat="1" ht="119.1" customHeight="1" outlineLevel="4" x14ac:dyDescent="0.2">
      <c r="A428" s="11">
        <v>178149</v>
      </c>
      <c r="B428" s="12" t="s">
        <v>817</v>
      </c>
      <c r="C428" s="12" t="s">
        <v>22</v>
      </c>
      <c r="D428" s="13"/>
      <c r="E428" s="14" t="s">
        <v>818</v>
      </c>
      <c r="F428" s="15" t="s">
        <v>24</v>
      </c>
      <c r="G428" s="16"/>
      <c r="H428" s="36">
        <v>150.4</v>
      </c>
      <c r="I428" s="36">
        <f>ROUND(H428-(H428*I2/100),2)</f>
        <v>150.4</v>
      </c>
      <c r="J428" s="17">
        <v>189</v>
      </c>
      <c r="K428" s="18"/>
      <c r="L428" s="18"/>
      <c r="M428" s="20"/>
      <c r="N428" s="37">
        <f t="shared" si="15"/>
        <v>0</v>
      </c>
      <c r="O428" s="21">
        <v>0.14599999999999999</v>
      </c>
      <c r="P428" s="22">
        <v>3.6999999999999998E-5</v>
      </c>
    </row>
    <row r="429" spans="1:16" s="1" customFormat="1" ht="119.1" customHeight="1" outlineLevel="4" x14ac:dyDescent="0.2">
      <c r="A429" s="11">
        <v>192274</v>
      </c>
      <c r="B429" s="12" t="s">
        <v>819</v>
      </c>
      <c r="C429" s="12" t="s">
        <v>22</v>
      </c>
      <c r="D429" s="13"/>
      <c r="E429" s="14" t="s">
        <v>820</v>
      </c>
      <c r="F429" s="15" t="s">
        <v>24</v>
      </c>
      <c r="G429" s="16"/>
      <c r="H429" s="36">
        <v>159.80000000000001</v>
      </c>
      <c r="I429" s="36">
        <f>ROUND(H429-(H429*I2/100),2)</f>
        <v>159.80000000000001</v>
      </c>
      <c r="J429" s="17">
        <v>71</v>
      </c>
      <c r="K429" s="18"/>
      <c r="L429" s="18"/>
      <c r="M429" s="20"/>
      <c r="N429" s="37">
        <f t="shared" si="15"/>
        <v>0</v>
      </c>
      <c r="O429" s="21">
        <v>0.123</v>
      </c>
      <c r="P429" s="22">
        <v>3.6999999999999998E-5</v>
      </c>
    </row>
    <row r="430" spans="1:16" s="1" customFormat="1" ht="119.1" customHeight="1" outlineLevel="4" x14ac:dyDescent="0.2">
      <c r="A430" s="11">
        <v>187935</v>
      </c>
      <c r="B430" s="12" t="s">
        <v>821</v>
      </c>
      <c r="C430" s="12" t="s">
        <v>22</v>
      </c>
      <c r="D430" s="13"/>
      <c r="E430" s="14" t="s">
        <v>822</v>
      </c>
      <c r="F430" s="15" t="s">
        <v>24</v>
      </c>
      <c r="G430" s="16"/>
      <c r="H430" s="36">
        <v>158.19999999999999</v>
      </c>
      <c r="I430" s="36">
        <f>ROUND(H430-(H430*I2/100),2)</f>
        <v>158.19999999999999</v>
      </c>
      <c r="J430" s="17">
        <v>124</v>
      </c>
      <c r="K430" s="18"/>
      <c r="L430" s="18"/>
      <c r="M430" s="20"/>
      <c r="N430" s="37">
        <f t="shared" si="15"/>
        <v>0</v>
      </c>
      <c r="O430" s="21">
        <v>0.122</v>
      </c>
      <c r="P430" s="22">
        <v>3.6999999999999998E-5</v>
      </c>
    </row>
    <row r="431" spans="1:16" s="1" customFormat="1" ht="119.1" customHeight="1" outlineLevel="4" x14ac:dyDescent="0.2">
      <c r="A431" s="11">
        <v>178150</v>
      </c>
      <c r="B431" s="12" t="s">
        <v>823</v>
      </c>
      <c r="C431" s="12" t="s">
        <v>22</v>
      </c>
      <c r="D431" s="13"/>
      <c r="E431" s="14" t="s">
        <v>824</v>
      </c>
      <c r="F431" s="15" t="s">
        <v>24</v>
      </c>
      <c r="G431" s="16"/>
      <c r="H431" s="36">
        <v>142.80000000000001</v>
      </c>
      <c r="I431" s="36">
        <f>ROUND(H431-(H431*I2/100),2)</f>
        <v>142.80000000000001</v>
      </c>
      <c r="J431" s="17">
        <v>87</v>
      </c>
      <c r="K431" s="18"/>
      <c r="L431" s="18"/>
      <c r="M431" s="20"/>
      <c r="N431" s="37">
        <f t="shared" si="15"/>
        <v>0</v>
      </c>
      <c r="O431" s="21">
        <v>0.129</v>
      </c>
      <c r="P431" s="22">
        <v>3.6999999999999998E-5</v>
      </c>
    </row>
    <row r="432" spans="1:16" s="1" customFormat="1" ht="119.1" customHeight="1" outlineLevel="4" x14ac:dyDescent="0.2">
      <c r="A432" s="11">
        <v>165179</v>
      </c>
      <c r="B432" s="12" t="s">
        <v>825</v>
      </c>
      <c r="C432" s="12" t="s">
        <v>22</v>
      </c>
      <c r="D432" s="13"/>
      <c r="E432" s="14" t="s">
        <v>826</v>
      </c>
      <c r="F432" s="15" t="s">
        <v>24</v>
      </c>
      <c r="G432" s="16"/>
      <c r="H432" s="36">
        <v>161.80000000000001</v>
      </c>
      <c r="I432" s="36">
        <f>ROUND(H432-(H432*I2/100),2)</f>
        <v>161.80000000000001</v>
      </c>
      <c r="J432" s="17">
        <v>37</v>
      </c>
      <c r="K432" s="18"/>
      <c r="L432" s="18"/>
      <c r="M432" s="20"/>
      <c r="N432" s="37">
        <f t="shared" si="15"/>
        <v>0</v>
      </c>
      <c r="O432" s="21">
        <v>0.125</v>
      </c>
      <c r="P432" s="22">
        <v>3.6999999999999998E-5</v>
      </c>
    </row>
    <row r="433" spans="1:16" s="1" customFormat="1" ht="119.1" customHeight="1" outlineLevel="4" x14ac:dyDescent="0.2">
      <c r="A433" s="11">
        <v>186139</v>
      </c>
      <c r="B433" s="12" t="s">
        <v>827</v>
      </c>
      <c r="C433" s="12" t="s">
        <v>22</v>
      </c>
      <c r="D433" s="13"/>
      <c r="E433" s="14" t="s">
        <v>828</v>
      </c>
      <c r="F433" s="15" t="s">
        <v>24</v>
      </c>
      <c r="G433" s="16"/>
      <c r="H433" s="36">
        <v>159.6</v>
      </c>
      <c r="I433" s="36">
        <f>ROUND(H433-(H433*I2/100),2)</f>
        <v>159.6</v>
      </c>
      <c r="J433" s="17">
        <v>78</v>
      </c>
      <c r="K433" s="18"/>
      <c r="L433" s="18"/>
      <c r="M433" s="20"/>
      <c r="N433" s="37">
        <f t="shared" si="15"/>
        <v>0</v>
      </c>
      <c r="O433" s="21">
        <v>0.13600000000000001</v>
      </c>
      <c r="P433" s="22">
        <v>3.6999999999999998E-5</v>
      </c>
    </row>
    <row r="434" spans="1:16" s="1" customFormat="1" ht="119.1" customHeight="1" outlineLevel="4" x14ac:dyDescent="0.2">
      <c r="A434" s="11">
        <v>165180</v>
      </c>
      <c r="B434" s="12" t="s">
        <v>829</v>
      </c>
      <c r="C434" s="12" t="s">
        <v>22</v>
      </c>
      <c r="D434" s="13"/>
      <c r="E434" s="14" t="s">
        <v>830</v>
      </c>
      <c r="F434" s="15" t="s">
        <v>24</v>
      </c>
      <c r="G434" s="16"/>
      <c r="H434" s="36">
        <v>159.6</v>
      </c>
      <c r="I434" s="36">
        <f>ROUND(H434-(H434*I2/100),2)</f>
        <v>159.6</v>
      </c>
      <c r="J434" s="17">
        <v>107</v>
      </c>
      <c r="K434" s="18"/>
      <c r="L434" s="18"/>
      <c r="M434" s="20"/>
      <c r="N434" s="37">
        <f t="shared" si="15"/>
        <v>0</v>
      </c>
      <c r="O434" s="21">
        <v>0.14000000000000001</v>
      </c>
      <c r="P434" s="22">
        <v>3.6999999999999998E-5</v>
      </c>
    </row>
    <row r="435" spans="1:16" s="1" customFormat="1" ht="119.1" customHeight="1" outlineLevel="4" x14ac:dyDescent="0.2">
      <c r="A435" s="11">
        <v>165181</v>
      </c>
      <c r="B435" s="12" t="s">
        <v>831</v>
      </c>
      <c r="C435" s="12" t="s">
        <v>22</v>
      </c>
      <c r="D435" s="13"/>
      <c r="E435" s="14" t="s">
        <v>832</v>
      </c>
      <c r="F435" s="15" t="s">
        <v>24</v>
      </c>
      <c r="G435" s="16"/>
      <c r="H435" s="36">
        <v>142.80000000000001</v>
      </c>
      <c r="I435" s="36">
        <f>ROUND(H435-(H435*I2/100),2)</f>
        <v>142.80000000000001</v>
      </c>
      <c r="J435" s="17">
        <v>19</v>
      </c>
      <c r="K435" s="18"/>
      <c r="L435" s="18"/>
      <c r="M435" s="20"/>
      <c r="N435" s="37">
        <f t="shared" si="15"/>
        <v>0</v>
      </c>
      <c r="O435" s="21">
        <v>0.13200000000000001</v>
      </c>
      <c r="P435" s="22">
        <v>3.6999999999999998E-5</v>
      </c>
    </row>
    <row r="436" spans="1:16" s="1" customFormat="1" ht="119.1" customHeight="1" outlineLevel="4" x14ac:dyDescent="0.2">
      <c r="A436" s="11">
        <v>189979</v>
      </c>
      <c r="B436" s="12" t="s">
        <v>833</v>
      </c>
      <c r="C436" s="12" t="s">
        <v>22</v>
      </c>
      <c r="D436" s="13"/>
      <c r="E436" s="14" t="s">
        <v>834</v>
      </c>
      <c r="F436" s="15" t="s">
        <v>24</v>
      </c>
      <c r="G436" s="16"/>
      <c r="H436" s="36">
        <v>149.9</v>
      </c>
      <c r="I436" s="36">
        <f>ROUND(H436-(H436*I2/100),2)</f>
        <v>149.9</v>
      </c>
      <c r="J436" s="17">
        <v>52</v>
      </c>
      <c r="K436" s="18"/>
      <c r="L436" s="18"/>
      <c r="M436" s="20"/>
      <c r="N436" s="37">
        <f t="shared" si="15"/>
        <v>0</v>
      </c>
      <c r="O436" s="21">
        <v>0.11799999999999999</v>
      </c>
      <c r="P436" s="22">
        <v>3.6999999999999998E-5</v>
      </c>
    </row>
    <row r="437" spans="1:16" s="1" customFormat="1" ht="119.1" customHeight="1" outlineLevel="4" x14ac:dyDescent="0.2">
      <c r="A437" s="11">
        <v>189128</v>
      </c>
      <c r="B437" s="12" t="s">
        <v>835</v>
      </c>
      <c r="C437" s="12" t="s">
        <v>22</v>
      </c>
      <c r="D437" s="13"/>
      <c r="E437" s="14" t="s">
        <v>836</v>
      </c>
      <c r="F437" s="15" t="s">
        <v>24</v>
      </c>
      <c r="G437" s="16"/>
      <c r="H437" s="36">
        <v>161</v>
      </c>
      <c r="I437" s="36">
        <f>ROUND(H437-(H437*I2/100),2)</f>
        <v>161</v>
      </c>
      <c r="J437" s="17">
        <v>142</v>
      </c>
      <c r="K437" s="18"/>
      <c r="L437" s="18"/>
      <c r="M437" s="20"/>
      <c r="N437" s="37">
        <f t="shared" si="15"/>
        <v>0</v>
      </c>
      <c r="O437" s="21">
        <v>0.14599999999999999</v>
      </c>
      <c r="P437" s="22">
        <v>4.3999999999999999E-5</v>
      </c>
    </row>
    <row r="438" spans="1:16" s="1" customFormat="1" ht="119.1" customHeight="1" outlineLevel="4" x14ac:dyDescent="0.2">
      <c r="A438" s="11">
        <v>187936</v>
      </c>
      <c r="B438" s="12" t="s">
        <v>837</v>
      </c>
      <c r="C438" s="12" t="s">
        <v>22</v>
      </c>
      <c r="D438" s="13"/>
      <c r="E438" s="14" t="s">
        <v>838</v>
      </c>
      <c r="F438" s="15" t="s">
        <v>24</v>
      </c>
      <c r="G438" s="16"/>
      <c r="H438" s="36">
        <v>179.9</v>
      </c>
      <c r="I438" s="36">
        <f>ROUND(H438-(H438*I2/100),2)</f>
        <v>179.9</v>
      </c>
      <c r="J438" s="17">
        <v>84</v>
      </c>
      <c r="K438" s="18"/>
      <c r="L438" s="18"/>
      <c r="M438" s="20"/>
      <c r="N438" s="37">
        <f t="shared" si="15"/>
        <v>0</v>
      </c>
      <c r="O438" s="21">
        <v>0.182</v>
      </c>
      <c r="P438" s="22">
        <v>5.1E-5</v>
      </c>
    </row>
    <row r="439" spans="1:16" s="1" customFormat="1" ht="119.1" customHeight="1" outlineLevel="4" x14ac:dyDescent="0.2">
      <c r="A439" s="11">
        <v>187937</v>
      </c>
      <c r="B439" s="12" t="s">
        <v>839</v>
      </c>
      <c r="C439" s="12" t="s">
        <v>22</v>
      </c>
      <c r="D439" s="13"/>
      <c r="E439" s="14" t="s">
        <v>840</v>
      </c>
      <c r="F439" s="15" t="s">
        <v>24</v>
      </c>
      <c r="G439" s="16"/>
      <c r="H439" s="36">
        <v>181.3</v>
      </c>
      <c r="I439" s="36">
        <f>ROUND(H439-(H439*I2/100),2)</f>
        <v>181.3</v>
      </c>
      <c r="J439" s="17">
        <v>82</v>
      </c>
      <c r="K439" s="18"/>
      <c r="L439" s="18"/>
      <c r="M439" s="20"/>
      <c r="N439" s="37">
        <f t="shared" si="15"/>
        <v>0</v>
      </c>
      <c r="O439" s="21">
        <v>0.17799999999999999</v>
      </c>
      <c r="P439" s="22">
        <v>5.1E-5</v>
      </c>
    </row>
    <row r="440" spans="1:16" s="1" customFormat="1" ht="119.1" customHeight="1" outlineLevel="4" x14ac:dyDescent="0.2">
      <c r="A440" s="11">
        <v>188079</v>
      </c>
      <c r="B440" s="12" t="s">
        <v>841</v>
      </c>
      <c r="C440" s="12" t="s">
        <v>22</v>
      </c>
      <c r="D440" s="13"/>
      <c r="E440" s="14" t="s">
        <v>842</v>
      </c>
      <c r="F440" s="15" t="s">
        <v>24</v>
      </c>
      <c r="G440" s="16"/>
      <c r="H440" s="36">
        <v>170.3</v>
      </c>
      <c r="I440" s="36">
        <f>ROUND(H440-(H440*I2/100),2)</f>
        <v>170.3</v>
      </c>
      <c r="J440" s="17">
        <v>26</v>
      </c>
      <c r="K440" s="18"/>
      <c r="L440" s="18"/>
      <c r="M440" s="20"/>
      <c r="N440" s="37">
        <f t="shared" si="15"/>
        <v>0</v>
      </c>
      <c r="O440" s="21">
        <v>0.22</v>
      </c>
      <c r="P440" s="22">
        <v>6.0000000000000002E-5</v>
      </c>
    </row>
    <row r="441" spans="1:16" s="1" customFormat="1" ht="119.1" customHeight="1" outlineLevel="4" x14ac:dyDescent="0.2">
      <c r="A441" s="11">
        <v>178151</v>
      </c>
      <c r="B441" s="12" t="s">
        <v>843</v>
      </c>
      <c r="C441" s="12" t="s">
        <v>22</v>
      </c>
      <c r="D441" s="13"/>
      <c r="E441" s="14" t="s">
        <v>844</v>
      </c>
      <c r="F441" s="15" t="s">
        <v>24</v>
      </c>
      <c r="G441" s="16"/>
      <c r="H441" s="36">
        <v>198.1</v>
      </c>
      <c r="I441" s="36">
        <f>ROUND(H441-(H441*I2/100),2)</f>
        <v>198.1</v>
      </c>
      <c r="J441" s="17">
        <v>11</v>
      </c>
      <c r="K441" s="18"/>
      <c r="L441" s="18"/>
      <c r="M441" s="20"/>
      <c r="N441" s="37">
        <f t="shared" si="15"/>
        <v>0</v>
      </c>
      <c r="O441" s="21">
        <v>0.21</v>
      </c>
      <c r="P441" s="22">
        <v>6.0000000000000002E-5</v>
      </c>
    </row>
    <row r="442" spans="1:16" s="1" customFormat="1" ht="119.1" customHeight="1" outlineLevel="4" x14ac:dyDescent="0.2">
      <c r="A442" s="11">
        <v>165182</v>
      </c>
      <c r="B442" s="12" t="s">
        <v>845</v>
      </c>
      <c r="C442" s="12" t="s">
        <v>22</v>
      </c>
      <c r="D442" s="13"/>
      <c r="E442" s="14" t="s">
        <v>846</v>
      </c>
      <c r="F442" s="15" t="s">
        <v>24</v>
      </c>
      <c r="G442" s="16"/>
      <c r="H442" s="36">
        <v>219.1</v>
      </c>
      <c r="I442" s="36">
        <f>ROUND(H442-(H442*I2/100),2)</f>
        <v>219.1</v>
      </c>
      <c r="J442" s="17">
        <v>8</v>
      </c>
      <c r="K442" s="18"/>
      <c r="L442" s="18"/>
      <c r="M442" s="20"/>
      <c r="N442" s="37">
        <f t="shared" si="15"/>
        <v>0</v>
      </c>
      <c r="O442" s="21">
        <v>0.249</v>
      </c>
      <c r="P442" s="22">
        <v>6.7999999999999999E-5</v>
      </c>
    </row>
    <row r="443" spans="1:16" s="1" customFormat="1" ht="119.1" customHeight="1" outlineLevel="4" x14ac:dyDescent="0.2">
      <c r="A443" s="11">
        <v>178152</v>
      </c>
      <c r="B443" s="12" t="s">
        <v>847</v>
      </c>
      <c r="C443" s="12" t="s">
        <v>22</v>
      </c>
      <c r="D443" s="13"/>
      <c r="E443" s="14" t="s">
        <v>848</v>
      </c>
      <c r="F443" s="15" t="s">
        <v>24</v>
      </c>
      <c r="G443" s="16"/>
      <c r="H443" s="36">
        <v>244.8</v>
      </c>
      <c r="I443" s="36">
        <f>ROUND(H443-(H443*I2/100),2)</f>
        <v>244.8</v>
      </c>
      <c r="J443" s="17">
        <v>6</v>
      </c>
      <c r="K443" s="18"/>
      <c r="L443" s="18"/>
      <c r="M443" s="20"/>
      <c r="N443" s="37">
        <f t="shared" si="15"/>
        <v>0</v>
      </c>
      <c r="O443" s="21">
        <v>0.25800000000000001</v>
      </c>
      <c r="P443" s="22">
        <v>7.7999999999999999E-5</v>
      </c>
    </row>
    <row r="444" spans="1:16" s="1" customFormat="1" ht="119.1" customHeight="1" outlineLevel="4" x14ac:dyDescent="0.2">
      <c r="A444" s="11">
        <v>192275</v>
      </c>
      <c r="B444" s="12" t="s">
        <v>849</v>
      </c>
      <c r="C444" s="12" t="s">
        <v>22</v>
      </c>
      <c r="D444" s="13"/>
      <c r="E444" s="14" t="s">
        <v>850</v>
      </c>
      <c r="F444" s="15" t="s">
        <v>24</v>
      </c>
      <c r="G444" s="16"/>
      <c r="H444" s="36">
        <v>295.60000000000002</v>
      </c>
      <c r="I444" s="36">
        <f>ROUND(H444-(H444*I2/100),2)</f>
        <v>295.60000000000002</v>
      </c>
      <c r="J444" s="17">
        <v>7</v>
      </c>
      <c r="K444" s="18"/>
      <c r="L444" s="18"/>
      <c r="M444" s="20"/>
      <c r="N444" s="37">
        <f t="shared" si="15"/>
        <v>0</v>
      </c>
      <c r="O444" s="21">
        <v>0.432</v>
      </c>
      <c r="P444" s="22">
        <v>9.7999999999999997E-5</v>
      </c>
    </row>
    <row r="445" spans="1:16" s="1" customFormat="1" ht="119.1" customHeight="1" outlineLevel="4" x14ac:dyDescent="0.2">
      <c r="A445" s="11">
        <v>165183</v>
      </c>
      <c r="B445" s="12" t="s">
        <v>851</v>
      </c>
      <c r="C445" s="12" t="s">
        <v>22</v>
      </c>
      <c r="D445" s="13"/>
      <c r="E445" s="14" t="s">
        <v>852</v>
      </c>
      <c r="F445" s="15" t="s">
        <v>24</v>
      </c>
      <c r="G445" s="16"/>
      <c r="H445" s="36">
        <v>319.2</v>
      </c>
      <c r="I445" s="36">
        <f>ROUND(H445-(H445*I2/100),2)</f>
        <v>319.2</v>
      </c>
      <c r="J445" s="17">
        <v>33</v>
      </c>
      <c r="K445" s="18"/>
      <c r="L445" s="18"/>
      <c r="M445" s="20"/>
      <c r="N445" s="37">
        <f t="shared" si="15"/>
        <v>0</v>
      </c>
      <c r="O445" s="21">
        <v>0.39600000000000002</v>
      </c>
      <c r="P445" s="22">
        <v>9.7999999999999997E-5</v>
      </c>
    </row>
    <row r="446" spans="1:16" s="1" customFormat="1" ht="119.1" customHeight="1" outlineLevel="4" x14ac:dyDescent="0.2">
      <c r="A446" s="11">
        <v>192276</v>
      </c>
      <c r="B446" s="12" t="s">
        <v>853</v>
      </c>
      <c r="C446" s="12" t="s">
        <v>22</v>
      </c>
      <c r="D446" s="13"/>
      <c r="E446" s="14" t="s">
        <v>854</v>
      </c>
      <c r="F446" s="15" t="s">
        <v>24</v>
      </c>
      <c r="G446" s="16"/>
      <c r="H446" s="36">
        <v>344.4</v>
      </c>
      <c r="I446" s="36">
        <f>ROUND(H446-(H446*I2/100),2)</f>
        <v>344.4</v>
      </c>
      <c r="J446" s="17">
        <v>20</v>
      </c>
      <c r="K446" s="18"/>
      <c r="L446" s="18"/>
      <c r="M446" s="20"/>
      <c r="N446" s="37">
        <f t="shared" si="15"/>
        <v>0</v>
      </c>
      <c r="O446" s="21">
        <v>0.45300000000000001</v>
      </c>
      <c r="P446" s="22">
        <v>1.1E-4</v>
      </c>
    </row>
    <row r="447" spans="1:16" s="1" customFormat="1" ht="119.1" customHeight="1" outlineLevel="4" x14ac:dyDescent="0.2">
      <c r="A447" s="11">
        <v>165184</v>
      </c>
      <c r="B447" s="12" t="s">
        <v>855</v>
      </c>
      <c r="C447" s="12" t="s">
        <v>22</v>
      </c>
      <c r="D447" s="13"/>
      <c r="E447" s="14" t="s">
        <v>856</v>
      </c>
      <c r="F447" s="15" t="s">
        <v>24</v>
      </c>
      <c r="G447" s="16"/>
      <c r="H447" s="36">
        <v>380.1</v>
      </c>
      <c r="I447" s="36">
        <f>ROUND(H447-(H447*I2/100),2)</f>
        <v>380.1</v>
      </c>
      <c r="J447" s="17">
        <v>41</v>
      </c>
      <c r="K447" s="18"/>
      <c r="L447" s="18"/>
      <c r="M447" s="20"/>
      <c r="N447" s="37">
        <f t="shared" si="15"/>
        <v>0</v>
      </c>
      <c r="O447" s="21">
        <v>0.42699999999999999</v>
      </c>
      <c r="P447" s="22">
        <v>1.22E-4</v>
      </c>
    </row>
    <row r="448" spans="1:16" s="1" customFormat="1" ht="119.1" customHeight="1" outlineLevel="4" x14ac:dyDescent="0.2">
      <c r="A448" s="11">
        <v>165185</v>
      </c>
      <c r="B448" s="12" t="s">
        <v>857</v>
      </c>
      <c r="C448" s="12" t="s">
        <v>22</v>
      </c>
      <c r="D448" s="13"/>
      <c r="E448" s="14" t="s">
        <v>858</v>
      </c>
      <c r="F448" s="15" t="s">
        <v>24</v>
      </c>
      <c r="G448" s="16"/>
      <c r="H448" s="36">
        <v>415.1</v>
      </c>
      <c r="I448" s="36">
        <f>ROUND(H448-(H448*I2/100),2)</f>
        <v>415.1</v>
      </c>
      <c r="J448" s="17">
        <v>35</v>
      </c>
      <c r="K448" s="18"/>
      <c r="L448" s="18"/>
      <c r="M448" s="20"/>
      <c r="N448" s="37">
        <f t="shared" si="15"/>
        <v>0</v>
      </c>
      <c r="O448" s="21">
        <v>0.48299999999999998</v>
      </c>
      <c r="P448" s="22">
        <v>1.22E-4</v>
      </c>
    </row>
    <row r="449" spans="1:16" s="1" customFormat="1" ht="119.1" customHeight="1" outlineLevel="4" x14ac:dyDescent="0.2">
      <c r="A449" s="11">
        <v>168130</v>
      </c>
      <c r="B449" s="12" t="s">
        <v>859</v>
      </c>
      <c r="C449" s="12" t="s">
        <v>22</v>
      </c>
      <c r="D449" s="13"/>
      <c r="E449" s="14" t="s">
        <v>860</v>
      </c>
      <c r="F449" s="15" t="s">
        <v>24</v>
      </c>
      <c r="G449" s="16"/>
      <c r="H449" s="36">
        <v>292.39999999999998</v>
      </c>
      <c r="I449" s="36">
        <f>ROUND(H449-(H449*I2/100),2)</f>
        <v>292.39999999999998</v>
      </c>
      <c r="J449" s="17">
        <v>21</v>
      </c>
      <c r="K449" s="18"/>
      <c r="L449" s="18"/>
      <c r="M449" s="20"/>
      <c r="N449" s="37">
        <f t="shared" si="15"/>
        <v>0</v>
      </c>
      <c r="O449" s="21">
        <v>0.155</v>
      </c>
      <c r="P449" s="22">
        <v>1.6699999999999999E-4</v>
      </c>
    </row>
    <row r="450" spans="1:16" s="1" customFormat="1" ht="119.1" customHeight="1" outlineLevel="4" x14ac:dyDescent="0.2">
      <c r="A450" s="11">
        <v>190731</v>
      </c>
      <c r="B450" s="12" t="s">
        <v>861</v>
      </c>
      <c r="C450" s="12" t="s">
        <v>22</v>
      </c>
      <c r="D450" s="13"/>
      <c r="E450" s="14" t="s">
        <v>862</v>
      </c>
      <c r="F450" s="15" t="s">
        <v>24</v>
      </c>
      <c r="G450" s="16"/>
      <c r="H450" s="36">
        <v>191.7</v>
      </c>
      <c r="I450" s="36">
        <f>ROUND(H450-(H450*I2/100),2)</f>
        <v>191.7</v>
      </c>
      <c r="J450" s="17">
        <v>146</v>
      </c>
      <c r="K450" s="18"/>
      <c r="L450" s="18"/>
      <c r="M450" s="20"/>
      <c r="N450" s="37">
        <f t="shared" si="15"/>
        <v>0</v>
      </c>
      <c r="O450" s="21">
        <v>0.2</v>
      </c>
      <c r="P450" s="22">
        <v>5.0000000000000002E-5</v>
      </c>
    </row>
    <row r="451" spans="1:16" s="1" customFormat="1" ht="119.1" customHeight="1" outlineLevel="4" x14ac:dyDescent="0.2">
      <c r="A451" s="11">
        <v>184229</v>
      </c>
      <c r="B451" s="12" t="s">
        <v>863</v>
      </c>
      <c r="C451" s="12" t="s">
        <v>22</v>
      </c>
      <c r="D451" s="13"/>
      <c r="E451" s="14" t="s">
        <v>864</v>
      </c>
      <c r="F451" s="15" t="s">
        <v>24</v>
      </c>
      <c r="G451" s="16"/>
      <c r="H451" s="36">
        <v>312.8</v>
      </c>
      <c r="I451" s="36">
        <f>ROUND(H451-(H451*I2/100),2)</f>
        <v>312.8</v>
      </c>
      <c r="J451" s="17">
        <v>18</v>
      </c>
      <c r="K451" s="18"/>
      <c r="L451" s="18"/>
      <c r="M451" s="20"/>
      <c r="N451" s="37">
        <f t="shared" si="15"/>
        <v>0</v>
      </c>
      <c r="O451" s="21">
        <v>0.375</v>
      </c>
      <c r="P451" s="22">
        <v>3.3E-4</v>
      </c>
    </row>
    <row r="452" spans="1:16" s="8" customFormat="1" ht="15.95" customHeight="1" outlineLevel="3" x14ac:dyDescent="0.25">
      <c r="A452" s="9"/>
      <c r="B452" s="10"/>
      <c r="C452" s="10"/>
      <c r="D452" s="10" t="s">
        <v>865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spans="1:16" s="1" customFormat="1" ht="119.1" customHeight="1" outlineLevel="4" x14ac:dyDescent="0.2">
      <c r="A453" s="11">
        <v>219283</v>
      </c>
      <c r="B453" s="12" t="s">
        <v>866</v>
      </c>
      <c r="C453" s="12" t="s">
        <v>22</v>
      </c>
      <c r="D453" s="13"/>
      <c r="E453" s="14" t="s">
        <v>867</v>
      </c>
      <c r="F453" s="15" t="s">
        <v>24</v>
      </c>
      <c r="G453" s="16"/>
      <c r="H453" s="36">
        <v>499.9</v>
      </c>
      <c r="I453" s="36">
        <f>ROUND(H453-(H453*I2/100),2)</f>
        <v>499.9</v>
      </c>
      <c r="J453" s="17">
        <v>179</v>
      </c>
      <c r="K453" s="18"/>
      <c r="L453" s="18"/>
      <c r="M453" s="20"/>
      <c r="N453" s="37">
        <f t="shared" ref="N453:N463" si="16">I453*M453</f>
        <v>0</v>
      </c>
      <c r="O453" s="21">
        <v>0.2</v>
      </c>
      <c r="P453" s="22">
        <v>2E-3</v>
      </c>
    </row>
    <row r="454" spans="1:16" s="1" customFormat="1" ht="119.1" customHeight="1" outlineLevel="4" x14ac:dyDescent="0.2">
      <c r="A454" s="11">
        <v>216167</v>
      </c>
      <c r="B454" s="12" t="s">
        <v>868</v>
      </c>
      <c r="C454" s="12" t="s">
        <v>22</v>
      </c>
      <c r="D454" s="13"/>
      <c r="E454" s="14" t="s">
        <v>869</v>
      </c>
      <c r="F454" s="15" t="s">
        <v>24</v>
      </c>
      <c r="G454" s="16"/>
      <c r="H454" s="36">
        <v>885.5</v>
      </c>
      <c r="I454" s="36">
        <f>ROUND(H454-(H454*I2/100),2)</f>
        <v>885.5</v>
      </c>
      <c r="J454" s="17">
        <v>55</v>
      </c>
      <c r="K454" s="18"/>
      <c r="L454" s="18"/>
      <c r="M454" s="20"/>
      <c r="N454" s="37">
        <f t="shared" si="16"/>
        <v>0</v>
      </c>
      <c r="O454" s="21">
        <v>0.4</v>
      </c>
      <c r="P454" s="22">
        <v>5.0000000000000001E-4</v>
      </c>
    </row>
    <row r="455" spans="1:16" s="1" customFormat="1" ht="119.1" customHeight="1" outlineLevel="4" x14ac:dyDescent="0.2">
      <c r="A455" s="11">
        <v>216166</v>
      </c>
      <c r="B455" s="12" t="s">
        <v>870</v>
      </c>
      <c r="C455" s="12" t="s">
        <v>22</v>
      </c>
      <c r="D455" s="13"/>
      <c r="E455" s="14" t="s">
        <v>871</v>
      </c>
      <c r="F455" s="15" t="s">
        <v>24</v>
      </c>
      <c r="G455" s="16"/>
      <c r="H455" s="36">
        <v>704.1</v>
      </c>
      <c r="I455" s="36">
        <f>ROUND(H455-(H455*I2/100),2)</f>
        <v>704.1</v>
      </c>
      <c r="J455" s="17">
        <v>131</v>
      </c>
      <c r="K455" s="18"/>
      <c r="L455" s="18"/>
      <c r="M455" s="20"/>
      <c r="N455" s="37">
        <f t="shared" si="16"/>
        <v>0</v>
      </c>
      <c r="O455" s="21">
        <v>0.3</v>
      </c>
      <c r="P455" s="22">
        <v>5.0000000000000001E-4</v>
      </c>
    </row>
    <row r="456" spans="1:16" s="1" customFormat="1" ht="119.1" customHeight="1" outlineLevel="4" x14ac:dyDescent="0.2">
      <c r="A456" s="11">
        <v>195746</v>
      </c>
      <c r="B456" s="12" t="s">
        <v>872</v>
      </c>
      <c r="C456" s="12" t="s">
        <v>22</v>
      </c>
      <c r="D456" s="28"/>
      <c r="E456" s="29" t="s">
        <v>873</v>
      </c>
      <c r="F456" s="30" t="s">
        <v>24</v>
      </c>
      <c r="G456" s="31" t="s">
        <v>209</v>
      </c>
      <c r="H456" s="36">
        <v>297.89999999999998</v>
      </c>
      <c r="I456" s="36">
        <f>ROUND(H456-(H456*I2/100),2)</f>
        <v>297.89999999999998</v>
      </c>
      <c r="J456" s="17">
        <v>25</v>
      </c>
      <c r="K456" s="18"/>
      <c r="L456" s="18"/>
      <c r="M456" s="20"/>
      <c r="N456" s="37">
        <f t="shared" si="16"/>
        <v>0</v>
      </c>
      <c r="O456" s="21">
        <v>0.13500000000000001</v>
      </c>
      <c r="P456" s="22">
        <v>1.2999999999999999E-4</v>
      </c>
    </row>
    <row r="457" spans="1:16" s="1" customFormat="1" ht="119.1" customHeight="1" outlineLevel="4" x14ac:dyDescent="0.2">
      <c r="A457" s="11">
        <v>169047</v>
      </c>
      <c r="B457" s="12" t="s">
        <v>874</v>
      </c>
      <c r="C457" s="12" t="s">
        <v>22</v>
      </c>
      <c r="D457" s="13"/>
      <c r="E457" s="14" t="s">
        <v>875</v>
      </c>
      <c r="F457" s="15" t="s">
        <v>24</v>
      </c>
      <c r="G457" s="16"/>
      <c r="H457" s="36">
        <v>563.5</v>
      </c>
      <c r="I457" s="36">
        <f>ROUND(H457-(H457*I2/100),2)</f>
        <v>563.5</v>
      </c>
      <c r="J457" s="17">
        <v>109</v>
      </c>
      <c r="K457" s="18"/>
      <c r="L457" s="18"/>
      <c r="M457" s="20"/>
      <c r="N457" s="37">
        <f t="shared" si="16"/>
        <v>0</v>
      </c>
      <c r="O457" s="21">
        <v>0.36</v>
      </c>
      <c r="P457" s="22">
        <v>3.19E-4</v>
      </c>
    </row>
    <row r="458" spans="1:16" s="1" customFormat="1" ht="119.1" customHeight="1" outlineLevel="4" x14ac:dyDescent="0.2">
      <c r="A458" s="11">
        <v>170943</v>
      </c>
      <c r="B458" s="12" t="s">
        <v>876</v>
      </c>
      <c r="C458" s="12" t="s">
        <v>22</v>
      </c>
      <c r="D458" s="13"/>
      <c r="E458" s="14" t="s">
        <v>877</v>
      </c>
      <c r="F458" s="15" t="s">
        <v>24</v>
      </c>
      <c r="G458" s="16"/>
      <c r="H458" s="36">
        <v>644</v>
      </c>
      <c r="I458" s="36">
        <f>ROUND(H458-(H458*I2/100),2)</f>
        <v>644</v>
      </c>
      <c r="J458" s="17">
        <v>132</v>
      </c>
      <c r="K458" s="18"/>
      <c r="L458" s="18"/>
      <c r="M458" s="20"/>
      <c r="N458" s="37">
        <f t="shared" si="16"/>
        <v>0</v>
      </c>
      <c r="O458" s="21">
        <v>0.34799999999999998</v>
      </c>
      <c r="P458" s="22">
        <v>3.19E-4</v>
      </c>
    </row>
    <row r="459" spans="1:16" s="1" customFormat="1" ht="119.1" customHeight="1" outlineLevel="4" x14ac:dyDescent="0.2">
      <c r="A459" s="11">
        <v>212481</v>
      </c>
      <c r="B459" s="12" t="s">
        <v>878</v>
      </c>
      <c r="C459" s="12" t="s">
        <v>22</v>
      </c>
      <c r="D459" s="13"/>
      <c r="E459" s="14" t="s">
        <v>879</v>
      </c>
      <c r="F459" s="15" t="s">
        <v>113</v>
      </c>
      <c r="G459" s="16"/>
      <c r="H459" s="36">
        <v>1340.3</v>
      </c>
      <c r="I459" s="36">
        <f>ROUND(H459-(H459*I2/100),2)</f>
        <v>1340.3</v>
      </c>
      <c r="J459" s="17">
        <v>3</v>
      </c>
      <c r="K459" s="18"/>
      <c r="L459" s="18"/>
      <c r="M459" s="20"/>
      <c r="N459" s="37">
        <f t="shared" si="16"/>
        <v>0</v>
      </c>
      <c r="O459" s="21">
        <v>0.4</v>
      </c>
      <c r="P459" s="22">
        <v>2E-3</v>
      </c>
    </row>
    <row r="460" spans="1:16" s="1" customFormat="1" ht="119.1" customHeight="1" outlineLevel="4" x14ac:dyDescent="0.2">
      <c r="A460" s="11">
        <v>196200</v>
      </c>
      <c r="B460" s="12" t="s">
        <v>880</v>
      </c>
      <c r="C460" s="12" t="s">
        <v>22</v>
      </c>
      <c r="D460" s="13"/>
      <c r="E460" s="14" t="s">
        <v>881</v>
      </c>
      <c r="F460" s="15" t="s">
        <v>113</v>
      </c>
      <c r="G460" s="16"/>
      <c r="H460" s="36">
        <v>661.8</v>
      </c>
      <c r="I460" s="36">
        <f>ROUND(H460-(H460*I2/100),2)</f>
        <v>661.8</v>
      </c>
      <c r="J460" s="17">
        <v>176</v>
      </c>
      <c r="K460" s="18"/>
      <c r="L460" s="18"/>
      <c r="M460" s="20"/>
      <c r="N460" s="37">
        <f t="shared" si="16"/>
        <v>0</v>
      </c>
      <c r="O460" s="21">
        <v>0.26</v>
      </c>
      <c r="P460" s="22">
        <v>5.31E-4</v>
      </c>
    </row>
    <row r="461" spans="1:16" s="1" customFormat="1" ht="119.1" customHeight="1" outlineLevel="4" x14ac:dyDescent="0.2">
      <c r="A461" s="11">
        <v>215006</v>
      </c>
      <c r="B461" s="12" t="s">
        <v>882</v>
      </c>
      <c r="C461" s="12" t="s">
        <v>22</v>
      </c>
      <c r="D461" s="13"/>
      <c r="E461" s="14" t="s">
        <v>883</v>
      </c>
      <c r="F461" s="15" t="s">
        <v>113</v>
      </c>
      <c r="G461" s="16"/>
      <c r="H461" s="36">
        <v>1127.0999999999999</v>
      </c>
      <c r="I461" s="36">
        <f>ROUND(H461-(H461*I2/100),2)</f>
        <v>1127.0999999999999</v>
      </c>
      <c r="J461" s="17">
        <v>21</v>
      </c>
      <c r="K461" s="18"/>
      <c r="L461" s="18"/>
      <c r="M461" s="20"/>
      <c r="N461" s="37">
        <f t="shared" si="16"/>
        <v>0</v>
      </c>
      <c r="O461" s="21">
        <v>0.5</v>
      </c>
      <c r="P461" s="22">
        <v>1E-4</v>
      </c>
    </row>
    <row r="462" spans="1:16" s="1" customFormat="1" ht="119.1" customHeight="1" outlineLevel="4" x14ac:dyDescent="0.2">
      <c r="A462" s="11">
        <v>212554</v>
      </c>
      <c r="B462" s="12" t="s">
        <v>884</v>
      </c>
      <c r="C462" s="12" t="s">
        <v>22</v>
      </c>
      <c r="D462" s="13"/>
      <c r="E462" s="14" t="s">
        <v>885</v>
      </c>
      <c r="F462" s="15" t="s">
        <v>113</v>
      </c>
      <c r="G462" s="16"/>
      <c r="H462" s="36">
        <v>722.3</v>
      </c>
      <c r="I462" s="36">
        <f>ROUND(H462-(H462*I2/100),2)</f>
        <v>722.3</v>
      </c>
      <c r="J462" s="17">
        <v>41</v>
      </c>
      <c r="K462" s="18"/>
      <c r="L462" s="18"/>
      <c r="M462" s="20"/>
      <c r="N462" s="37">
        <f t="shared" si="16"/>
        <v>0</v>
      </c>
      <c r="O462" s="21">
        <v>0.4</v>
      </c>
      <c r="P462" s="22">
        <v>2E-3</v>
      </c>
    </row>
    <row r="463" spans="1:16" s="1" customFormat="1" ht="119.1" customHeight="1" outlineLevel="4" x14ac:dyDescent="0.2">
      <c r="A463" s="11">
        <v>196201</v>
      </c>
      <c r="B463" s="12" t="s">
        <v>886</v>
      </c>
      <c r="C463" s="12" t="s">
        <v>22</v>
      </c>
      <c r="D463" s="13"/>
      <c r="E463" s="14" t="s">
        <v>887</v>
      </c>
      <c r="F463" s="15" t="s">
        <v>113</v>
      </c>
      <c r="G463" s="16"/>
      <c r="H463" s="36">
        <v>698</v>
      </c>
      <c r="I463" s="36">
        <f>ROUND(H463-(H463*I2/100),2)</f>
        <v>698</v>
      </c>
      <c r="J463" s="17">
        <v>71</v>
      </c>
      <c r="K463" s="18"/>
      <c r="L463" s="18"/>
      <c r="M463" s="20"/>
      <c r="N463" s="37">
        <f t="shared" si="16"/>
        <v>0</v>
      </c>
      <c r="O463" s="21">
        <v>0.46</v>
      </c>
      <c r="P463" s="22">
        <v>8.6499999999999999E-4</v>
      </c>
    </row>
    <row r="464" spans="1:16" s="8" customFormat="1" ht="15.95" customHeight="1" outlineLevel="3" x14ac:dyDescent="0.25">
      <c r="A464" s="9"/>
      <c r="B464" s="10"/>
      <c r="C464" s="10"/>
      <c r="D464" s="10" t="s">
        <v>888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spans="1:16" s="1" customFormat="1" ht="119.1" customHeight="1" outlineLevel="4" x14ac:dyDescent="0.2">
      <c r="A465" s="11">
        <v>169166</v>
      </c>
      <c r="B465" s="12" t="s">
        <v>889</v>
      </c>
      <c r="C465" s="12" t="s">
        <v>22</v>
      </c>
      <c r="D465" s="13"/>
      <c r="E465" s="14" t="s">
        <v>890</v>
      </c>
      <c r="F465" s="15" t="s">
        <v>24</v>
      </c>
      <c r="G465" s="16"/>
      <c r="H465" s="36">
        <v>248</v>
      </c>
      <c r="I465" s="36">
        <f>ROUND(H465-(H465*I2/100),2)</f>
        <v>248</v>
      </c>
      <c r="J465" s="17">
        <v>447</v>
      </c>
      <c r="K465" s="18"/>
      <c r="L465" s="18"/>
      <c r="M465" s="20"/>
      <c r="N465" s="37">
        <f t="shared" ref="N465:N489" si="17">I465*M465</f>
        <v>0</v>
      </c>
      <c r="O465" s="21">
        <v>0.189</v>
      </c>
      <c r="P465" s="22">
        <v>6.4800000000000003E-4</v>
      </c>
    </row>
    <row r="466" spans="1:16" s="1" customFormat="1" ht="119.1" customHeight="1" outlineLevel="4" x14ac:dyDescent="0.2">
      <c r="A466" s="11">
        <v>169165</v>
      </c>
      <c r="B466" s="12" t="s">
        <v>891</v>
      </c>
      <c r="C466" s="12" t="s">
        <v>22</v>
      </c>
      <c r="D466" s="13"/>
      <c r="E466" s="14" t="s">
        <v>892</v>
      </c>
      <c r="F466" s="15" t="s">
        <v>24</v>
      </c>
      <c r="G466" s="16"/>
      <c r="H466" s="36">
        <v>423.4</v>
      </c>
      <c r="I466" s="36">
        <f>ROUND(H466-(H466*I2/100),2)</f>
        <v>423.4</v>
      </c>
      <c r="J466" s="17">
        <v>54</v>
      </c>
      <c r="K466" s="18"/>
      <c r="L466" s="18"/>
      <c r="M466" s="20"/>
      <c r="N466" s="37">
        <f t="shared" si="17"/>
        <v>0</v>
      </c>
      <c r="O466" s="21">
        <v>0.16700000000000001</v>
      </c>
      <c r="P466" s="22">
        <v>3.6200000000000002E-4</v>
      </c>
    </row>
    <row r="467" spans="1:16" s="1" customFormat="1" ht="119.1" customHeight="1" outlineLevel="4" x14ac:dyDescent="0.2">
      <c r="A467" s="11">
        <v>183331</v>
      </c>
      <c r="B467" s="12" t="s">
        <v>893</v>
      </c>
      <c r="C467" s="12" t="s">
        <v>22</v>
      </c>
      <c r="D467" s="13"/>
      <c r="E467" s="14" t="s">
        <v>894</v>
      </c>
      <c r="F467" s="15" t="s">
        <v>24</v>
      </c>
      <c r="G467" s="16"/>
      <c r="H467" s="36">
        <v>231.2</v>
      </c>
      <c r="I467" s="36">
        <f>ROUND(H467-(H467*I2/100),2)</f>
        <v>231.2</v>
      </c>
      <c r="J467" s="17">
        <v>31</v>
      </c>
      <c r="K467" s="18"/>
      <c r="L467" s="18"/>
      <c r="M467" s="20"/>
      <c r="N467" s="37">
        <f t="shared" si="17"/>
        <v>0</v>
      </c>
      <c r="O467" s="21">
        <v>0.16700000000000001</v>
      </c>
      <c r="P467" s="22">
        <v>2.3499999999999999E-4</v>
      </c>
    </row>
    <row r="468" spans="1:16" s="1" customFormat="1" ht="119.1" customHeight="1" outlineLevel="4" x14ac:dyDescent="0.2">
      <c r="A468" s="11">
        <v>196156</v>
      </c>
      <c r="B468" s="12" t="s">
        <v>895</v>
      </c>
      <c r="C468" s="12" t="s">
        <v>50</v>
      </c>
      <c r="D468" s="13"/>
      <c r="E468" s="14" t="s">
        <v>896</v>
      </c>
      <c r="F468" s="15" t="s">
        <v>24</v>
      </c>
      <c r="G468" s="16"/>
      <c r="H468" s="36">
        <v>222.3</v>
      </c>
      <c r="I468" s="36">
        <f>ROUND(H468-(H468*I2/100),2)</f>
        <v>222.3</v>
      </c>
      <c r="J468" s="17">
        <v>35</v>
      </c>
      <c r="K468" s="18"/>
      <c r="L468" s="18"/>
      <c r="M468" s="20"/>
      <c r="N468" s="37">
        <f t="shared" si="17"/>
        <v>0</v>
      </c>
      <c r="O468" s="21">
        <v>0.153</v>
      </c>
      <c r="P468" s="22">
        <v>1.1720000000000001E-3</v>
      </c>
    </row>
    <row r="469" spans="1:16" s="1" customFormat="1" ht="119.1" customHeight="1" outlineLevel="4" x14ac:dyDescent="0.2">
      <c r="A469" s="11">
        <v>151381</v>
      </c>
      <c r="B469" s="12" t="s">
        <v>897</v>
      </c>
      <c r="C469" s="12" t="s">
        <v>22</v>
      </c>
      <c r="D469" s="13"/>
      <c r="E469" s="14" t="s">
        <v>898</v>
      </c>
      <c r="F469" s="15" t="s">
        <v>24</v>
      </c>
      <c r="G469" s="16"/>
      <c r="H469" s="36">
        <v>236.2</v>
      </c>
      <c r="I469" s="36">
        <f>ROUND(H469-(H469*I2/100),2)</f>
        <v>236.2</v>
      </c>
      <c r="J469" s="17">
        <v>190</v>
      </c>
      <c r="K469" s="18"/>
      <c r="L469" s="18"/>
      <c r="M469" s="20"/>
      <c r="N469" s="37">
        <f t="shared" si="17"/>
        <v>0</v>
      </c>
      <c r="O469" s="21">
        <v>0.189</v>
      </c>
      <c r="P469" s="22">
        <v>6.4800000000000003E-4</v>
      </c>
    </row>
    <row r="470" spans="1:16" s="1" customFormat="1" ht="119.1" customHeight="1" outlineLevel="4" x14ac:dyDescent="0.2">
      <c r="A470" s="11">
        <v>181092</v>
      </c>
      <c r="B470" s="12" t="s">
        <v>899</v>
      </c>
      <c r="C470" s="12" t="s">
        <v>22</v>
      </c>
      <c r="D470" s="13"/>
      <c r="E470" s="14" t="s">
        <v>900</v>
      </c>
      <c r="F470" s="15" t="s">
        <v>24</v>
      </c>
      <c r="G470" s="16"/>
      <c r="H470" s="36">
        <v>551.9</v>
      </c>
      <c r="I470" s="36">
        <f>ROUND(H470-(H470*I2/100),2)</f>
        <v>551.9</v>
      </c>
      <c r="J470" s="17">
        <v>193</v>
      </c>
      <c r="K470" s="18"/>
      <c r="L470" s="18"/>
      <c r="M470" s="20"/>
      <c r="N470" s="37">
        <f t="shared" si="17"/>
        <v>0</v>
      </c>
      <c r="O470" s="21">
        <v>0.17100000000000001</v>
      </c>
      <c r="P470" s="22">
        <v>3.0899999999999998E-4</v>
      </c>
    </row>
    <row r="471" spans="1:16" s="1" customFormat="1" ht="119.1" customHeight="1" outlineLevel="4" x14ac:dyDescent="0.2">
      <c r="A471" s="11">
        <v>191240</v>
      </c>
      <c r="B471" s="12" t="s">
        <v>901</v>
      </c>
      <c r="C471" s="12" t="s">
        <v>22</v>
      </c>
      <c r="D471" s="13"/>
      <c r="E471" s="14" t="s">
        <v>902</v>
      </c>
      <c r="F471" s="15" t="s">
        <v>24</v>
      </c>
      <c r="G471" s="16"/>
      <c r="H471" s="36">
        <v>294.5</v>
      </c>
      <c r="I471" s="36">
        <f>ROUND(H471-(H471*I2/100),2)</f>
        <v>294.5</v>
      </c>
      <c r="J471" s="17">
        <v>82</v>
      </c>
      <c r="K471" s="18"/>
      <c r="L471" s="18"/>
      <c r="M471" s="20"/>
      <c r="N471" s="37">
        <f t="shared" si="17"/>
        <v>0</v>
      </c>
      <c r="O471" s="21">
        <v>0.23599999999999999</v>
      </c>
      <c r="P471" s="22">
        <v>8.7500000000000002E-4</v>
      </c>
    </row>
    <row r="472" spans="1:16" s="1" customFormat="1" ht="119.1" customHeight="1" outlineLevel="4" x14ac:dyDescent="0.2">
      <c r="A472" s="11">
        <v>196157</v>
      </c>
      <c r="B472" s="12" t="s">
        <v>903</v>
      </c>
      <c r="C472" s="12" t="s">
        <v>50</v>
      </c>
      <c r="D472" s="13"/>
      <c r="E472" s="14" t="s">
        <v>904</v>
      </c>
      <c r="F472" s="15" t="s">
        <v>24</v>
      </c>
      <c r="G472" s="16"/>
      <c r="H472" s="36">
        <v>285.2</v>
      </c>
      <c r="I472" s="36">
        <f>ROUND(H472-(H472*I2/100),2)</f>
        <v>285.2</v>
      </c>
      <c r="J472" s="17">
        <v>3</v>
      </c>
      <c r="K472" s="18"/>
      <c r="L472" s="18"/>
      <c r="M472" s="20"/>
      <c r="N472" s="37">
        <f t="shared" si="17"/>
        <v>0</v>
      </c>
      <c r="O472" s="21">
        <v>0.222</v>
      </c>
      <c r="P472" s="22">
        <v>1.1720000000000001E-3</v>
      </c>
    </row>
    <row r="473" spans="1:16" s="1" customFormat="1" ht="119.1" customHeight="1" outlineLevel="4" x14ac:dyDescent="0.2">
      <c r="A473" s="11">
        <v>181126</v>
      </c>
      <c r="B473" s="12" t="s">
        <v>905</v>
      </c>
      <c r="C473" s="12" t="s">
        <v>22</v>
      </c>
      <c r="D473" s="13"/>
      <c r="E473" s="14" t="s">
        <v>906</v>
      </c>
      <c r="F473" s="15" t="s">
        <v>24</v>
      </c>
      <c r="G473" s="16"/>
      <c r="H473" s="36">
        <v>495.9</v>
      </c>
      <c r="I473" s="36">
        <f>ROUND(H473-(H473*I2/100),2)</f>
        <v>495.9</v>
      </c>
      <c r="J473" s="17">
        <v>21</v>
      </c>
      <c r="K473" s="18"/>
      <c r="L473" s="18"/>
      <c r="M473" s="20"/>
      <c r="N473" s="37">
        <f t="shared" si="17"/>
        <v>0</v>
      </c>
      <c r="O473" s="21">
        <v>0.4</v>
      </c>
      <c r="P473" s="22">
        <v>2.9999999999999997E-4</v>
      </c>
    </row>
    <row r="474" spans="1:16" s="1" customFormat="1" ht="119.1" customHeight="1" outlineLevel="4" x14ac:dyDescent="0.2">
      <c r="A474" s="11">
        <v>210062</v>
      </c>
      <c r="B474" s="12" t="s">
        <v>907</v>
      </c>
      <c r="C474" s="12" t="s">
        <v>22</v>
      </c>
      <c r="D474" s="13"/>
      <c r="E474" s="14" t="s">
        <v>908</v>
      </c>
      <c r="F474" s="15" t="s">
        <v>24</v>
      </c>
      <c r="G474" s="16"/>
      <c r="H474" s="36">
        <v>806.7</v>
      </c>
      <c r="I474" s="36">
        <f>ROUND(H474-(H474*I2/100),2)</f>
        <v>806.7</v>
      </c>
      <c r="J474" s="17">
        <v>294</v>
      </c>
      <c r="K474" s="18"/>
      <c r="L474" s="18"/>
      <c r="M474" s="20"/>
      <c r="N474" s="37">
        <f t="shared" si="17"/>
        <v>0</v>
      </c>
      <c r="O474" s="21">
        <v>0.3</v>
      </c>
      <c r="P474" s="22">
        <v>4.4999999999999999E-4</v>
      </c>
    </row>
    <row r="475" spans="1:16" s="1" customFormat="1" ht="119.1" customHeight="1" outlineLevel="4" x14ac:dyDescent="0.2">
      <c r="A475" s="11">
        <v>198733</v>
      </c>
      <c r="B475" s="12" t="s">
        <v>909</v>
      </c>
      <c r="C475" s="12" t="s">
        <v>22</v>
      </c>
      <c r="D475" s="13"/>
      <c r="E475" s="14" t="s">
        <v>910</v>
      </c>
      <c r="F475" s="15" t="s">
        <v>24</v>
      </c>
      <c r="G475" s="16"/>
      <c r="H475" s="36">
        <v>704.6</v>
      </c>
      <c r="I475" s="36">
        <f>ROUND(H475-(H475*I2/100),2)</f>
        <v>704.6</v>
      </c>
      <c r="J475" s="17">
        <v>39</v>
      </c>
      <c r="K475" s="18"/>
      <c r="L475" s="18"/>
      <c r="M475" s="20"/>
      <c r="N475" s="37">
        <f t="shared" si="17"/>
        <v>0</v>
      </c>
      <c r="O475" s="21">
        <v>0.3</v>
      </c>
      <c r="P475" s="22">
        <v>2E-3</v>
      </c>
    </row>
    <row r="476" spans="1:16" s="1" customFormat="1" ht="119.1" customHeight="1" outlineLevel="4" x14ac:dyDescent="0.2">
      <c r="A476" s="11">
        <v>197334</v>
      </c>
      <c r="B476" s="12" t="s">
        <v>911</v>
      </c>
      <c r="C476" s="12" t="s">
        <v>50</v>
      </c>
      <c r="D476" s="13"/>
      <c r="E476" s="14" t="s">
        <v>912</v>
      </c>
      <c r="F476" s="15" t="s">
        <v>24</v>
      </c>
      <c r="G476" s="16"/>
      <c r="H476" s="36">
        <v>219.7</v>
      </c>
      <c r="I476" s="36">
        <f>ROUND(H476-(H476*I2/100),2)</f>
        <v>219.7</v>
      </c>
      <c r="J476" s="17">
        <v>3</v>
      </c>
      <c r="K476" s="18"/>
      <c r="L476" s="18"/>
      <c r="M476" s="20"/>
      <c r="N476" s="37">
        <f t="shared" si="17"/>
        <v>0</v>
      </c>
      <c r="O476" s="21">
        <v>0.153</v>
      </c>
      <c r="P476" s="22">
        <v>1.0579999999999999E-3</v>
      </c>
    </row>
    <row r="477" spans="1:16" s="1" customFormat="1" ht="119.1" customHeight="1" outlineLevel="4" x14ac:dyDescent="0.2">
      <c r="A477" s="11">
        <v>190212</v>
      </c>
      <c r="B477" s="12" t="s">
        <v>913</v>
      </c>
      <c r="C477" s="12" t="s">
        <v>22</v>
      </c>
      <c r="D477" s="13"/>
      <c r="E477" s="14" t="s">
        <v>914</v>
      </c>
      <c r="F477" s="15" t="s">
        <v>24</v>
      </c>
      <c r="G477" s="16"/>
      <c r="H477" s="36">
        <v>606.9</v>
      </c>
      <c r="I477" s="36">
        <f>ROUND(H477-(H477*I2/100),2)</f>
        <v>606.9</v>
      </c>
      <c r="J477" s="17">
        <v>10</v>
      </c>
      <c r="K477" s="18"/>
      <c r="L477" s="18"/>
      <c r="M477" s="20"/>
      <c r="N477" s="37">
        <f t="shared" si="17"/>
        <v>0</v>
      </c>
      <c r="O477" s="21">
        <v>0.23599999999999999</v>
      </c>
      <c r="P477" s="22">
        <v>3.6999999999999999E-4</v>
      </c>
    </row>
    <row r="478" spans="1:16" s="1" customFormat="1" ht="119.1" customHeight="1" outlineLevel="4" x14ac:dyDescent="0.2">
      <c r="A478" s="11">
        <v>165275</v>
      </c>
      <c r="B478" s="12" t="s">
        <v>915</v>
      </c>
      <c r="C478" s="12" t="s">
        <v>22</v>
      </c>
      <c r="D478" s="13"/>
      <c r="E478" s="14" t="s">
        <v>916</v>
      </c>
      <c r="F478" s="15" t="s">
        <v>24</v>
      </c>
      <c r="G478" s="16"/>
      <c r="H478" s="36">
        <v>203</v>
      </c>
      <c r="I478" s="36">
        <f>ROUND(H478-(H478*I2/100),2)</f>
        <v>203</v>
      </c>
      <c r="J478" s="17">
        <v>132</v>
      </c>
      <c r="K478" s="18"/>
      <c r="L478" s="18"/>
      <c r="M478" s="20"/>
      <c r="N478" s="37">
        <f t="shared" si="17"/>
        <v>0</v>
      </c>
      <c r="O478" s="21">
        <v>0.108</v>
      </c>
      <c r="P478" s="22">
        <v>2.6499999999999999E-4</v>
      </c>
    </row>
    <row r="479" spans="1:16" s="1" customFormat="1" ht="119.1" customHeight="1" outlineLevel="4" x14ac:dyDescent="0.2">
      <c r="A479" s="11">
        <v>165276</v>
      </c>
      <c r="B479" s="12" t="s">
        <v>917</v>
      </c>
      <c r="C479" s="12" t="s">
        <v>22</v>
      </c>
      <c r="D479" s="13"/>
      <c r="E479" s="14" t="s">
        <v>918</v>
      </c>
      <c r="F479" s="15" t="s">
        <v>24</v>
      </c>
      <c r="G479" s="16"/>
      <c r="H479" s="36">
        <v>203</v>
      </c>
      <c r="I479" s="36">
        <f>ROUND(H479-(H479*I2/100),2)</f>
        <v>203</v>
      </c>
      <c r="J479" s="17">
        <v>15</v>
      </c>
      <c r="K479" s="18"/>
      <c r="L479" s="18"/>
      <c r="M479" s="20"/>
      <c r="N479" s="37">
        <f t="shared" si="17"/>
        <v>0</v>
      </c>
      <c r="O479" s="21">
        <v>0.10199999999999999</v>
      </c>
      <c r="P479" s="22">
        <v>2.6499999999999999E-4</v>
      </c>
    </row>
    <row r="480" spans="1:16" s="1" customFormat="1" ht="119.1" customHeight="1" outlineLevel="4" x14ac:dyDescent="0.2">
      <c r="A480" s="11">
        <v>191730</v>
      </c>
      <c r="B480" s="12" t="s">
        <v>919</v>
      </c>
      <c r="C480" s="12" t="s">
        <v>22</v>
      </c>
      <c r="D480" s="13"/>
      <c r="E480" s="14" t="s">
        <v>920</v>
      </c>
      <c r="F480" s="15" t="s">
        <v>113</v>
      </c>
      <c r="G480" s="16"/>
      <c r="H480" s="36">
        <v>1091.5</v>
      </c>
      <c r="I480" s="36">
        <f>ROUND(H480-(H480*I2/100),2)</f>
        <v>1091.5</v>
      </c>
      <c r="J480" s="17">
        <v>65</v>
      </c>
      <c r="K480" s="18"/>
      <c r="L480" s="18"/>
      <c r="M480" s="20"/>
      <c r="N480" s="37">
        <f t="shared" si="17"/>
        <v>0</v>
      </c>
      <c r="O480" s="21">
        <v>0.66500000000000004</v>
      </c>
      <c r="P480" s="22">
        <v>1.1050000000000001E-3</v>
      </c>
    </row>
    <row r="481" spans="1:16" s="1" customFormat="1" ht="119.1" customHeight="1" outlineLevel="4" x14ac:dyDescent="0.2">
      <c r="A481" s="11">
        <v>191731</v>
      </c>
      <c r="B481" s="12" t="s">
        <v>921</v>
      </c>
      <c r="C481" s="12" t="s">
        <v>22</v>
      </c>
      <c r="D481" s="28"/>
      <c r="E481" s="29" t="s">
        <v>922</v>
      </c>
      <c r="F481" s="30" t="s">
        <v>113</v>
      </c>
      <c r="G481" s="31" t="s">
        <v>209</v>
      </c>
      <c r="H481" s="36">
        <v>1229.4000000000001</v>
      </c>
      <c r="I481" s="36">
        <f>ROUND(H481-(H481*I2/100),2)</f>
        <v>1229.4000000000001</v>
      </c>
      <c r="J481" s="17">
        <v>8</v>
      </c>
      <c r="K481" s="18"/>
      <c r="L481" s="18"/>
      <c r="M481" s="20"/>
      <c r="N481" s="37">
        <f t="shared" si="17"/>
        <v>0</v>
      </c>
      <c r="O481" s="21">
        <v>1.0669999999999999</v>
      </c>
      <c r="P481" s="22">
        <v>1.9580000000000001E-3</v>
      </c>
    </row>
    <row r="482" spans="1:16" s="1" customFormat="1" ht="119.1" customHeight="1" outlineLevel="4" x14ac:dyDescent="0.2">
      <c r="A482" s="11">
        <v>216988</v>
      </c>
      <c r="B482" s="12" t="s">
        <v>923</v>
      </c>
      <c r="C482" s="12" t="s">
        <v>50</v>
      </c>
      <c r="D482" s="13"/>
      <c r="E482" s="14" t="s">
        <v>924</v>
      </c>
      <c r="F482" s="15" t="s">
        <v>24</v>
      </c>
      <c r="G482" s="16"/>
      <c r="H482" s="36">
        <v>238.1</v>
      </c>
      <c r="I482" s="36">
        <f>ROUND(H482-(H482*I2/100),2)</f>
        <v>238.1</v>
      </c>
      <c r="J482" s="17">
        <v>35</v>
      </c>
      <c r="K482" s="18"/>
      <c r="L482" s="18"/>
      <c r="M482" s="20"/>
      <c r="N482" s="37">
        <f t="shared" si="17"/>
        <v>0</v>
      </c>
      <c r="O482" s="21">
        <v>0.155</v>
      </c>
      <c r="P482" s="22">
        <v>1.85E-4</v>
      </c>
    </row>
    <row r="483" spans="1:16" s="1" customFormat="1" ht="119.1" customHeight="1" outlineLevel="4" x14ac:dyDescent="0.2">
      <c r="A483" s="11">
        <v>216989</v>
      </c>
      <c r="B483" s="12" t="s">
        <v>925</v>
      </c>
      <c r="C483" s="12" t="s">
        <v>50</v>
      </c>
      <c r="D483" s="13"/>
      <c r="E483" s="14" t="s">
        <v>926</v>
      </c>
      <c r="F483" s="15" t="s">
        <v>24</v>
      </c>
      <c r="G483" s="16"/>
      <c r="H483" s="36">
        <v>238.1</v>
      </c>
      <c r="I483" s="36">
        <f>ROUND(H483-(H483*I2/100),2)</f>
        <v>238.1</v>
      </c>
      <c r="J483" s="17">
        <v>27</v>
      </c>
      <c r="K483" s="18"/>
      <c r="L483" s="18"/>
      <c r="M483" s="20"/>
      <c r="N483" s="37">
        <f t="shared" si="17"/>
        <v>0</v>
      </c>
      <c r="O483" s="21">
        <v>0.158</v>
      </c>
      <c r="P483" s="22">
        <v>1.85E-4</v>
      </c>
    </row>
    <row r="484" spans="1:16" s="1" customFormat="1" ht="119.1" customHeight="1" outlineLevel="4" x14ac:dyDescent="0.2">
      <c r="A484" s="11">
        <v>216990</v>
      </c>
      <c r="B484" s="12" t="s">
        <v>927</v>
      </c>
      <c r="C484" s="12" t="s">
        <v>50</v>
      </c>
      <c r="D484" s="13"/>
      <c r="E484" s="14" t="s">
        <v>928</v>
      </c>
      <c r="F484" s="15" t="s">
        <v>24</v>
      </c>
      <c r="G484" s="16"/>
      <c r="H484" s="36">
        <v>238.1</v>
      </c>
      <c r="I484" s="36">
        <f>ROUND(H484-(H484*I2/100),2)</f>
        <v>238.1</v>
      </c>
      <c r="J484" s="17">
        <v>26</v>
      </c>
      <c r="K484" s="18"/>
      <c r="L484" s="18"/>
      <c r="M484" s="20"/>
      <c r="N484" s="37">
        <f t="shared" si="17"/>
        <v>0</v>
      </c>
      <c r="O484" s="21">
        <v>0.158</v>
      </c>
      <c r="P484" s="22">
        <v>1.85E-4</v>
      </c>
    </row>
    <row r="485" spans="1:16" s="1" customFormat="1" ht="119.1" customHeight="1" outlineLevel="4" x14ac:dyDescent="0.2">
      <c r="A485" s="11">
        <v>216991</v>
      </c>
      <c r="B485" s="12" t="s">
        <v>929</v>
      </c>
      <c r="C485" s="12" t="s">
        <v>50</v>
      </c>
      <c r="D485" s="13"/>
      <c r="E485" s="14" t="s">
        <v>930</v>
      </c>
      <c r="F485" s="15" t="s">
        <v>24</v>
      </c>
      <c r="G485" s="16"/>
      <c r="H485" s="36">
        <v>238.1</v>
      </c>
      <c r="I485" s="36">
        <f>ROUND(H485-(H485*I2/100),2)</f>
        <v>238.1</v>
      </c>
      <c r="J485" s="17">
        <v>11</v>
      </c>
      <c r="K485" s="18"/>
      <c r="L485" s="18"/>
      <c r="M485" s="20"/>
      <c r="N485" s="37">
        <f t="shared" si="17"/>
        <v>0</v>
      </c>
      <c r="O485" s="21">
        <v>0.158</v>
      </c>
      <c r="P485" s="22">
        <v>1.85E-4</v>
      </c>
    </row>
    <row r="486" spans="1:16" s="1" customFormat="1" ht="119.1" customHeight="1" outlineLevel="4" x14ac:dyDescent="0.2">
      <c r="A486" s="11">
        <v>188058</v>
      </c>
      <c r="B486" s="12" t="s">
        <v>931</v>
      </c>
      <c r="C486" s="12" t="s">
        <v>22</v>
      </c>
      <c r="D486" s="13"/>
      <c r="E486" s="14" t="s">
        <v>932</v>
      </c>
      <c r="F486" s="15" t="s">
        <v>24</v>
      </c>
      <c r="G486" s="16"/>
      <c r="H486" s="36">
        <v>361.9</v>
      </c>
      <c r="I486" s="36">
        <f>ROUND(H486-(H486*I2/100),2)</f>
        <v>361.9</v>
      </c>
      <c r="J486" s="17">
        <v>3</v>
      </c>
      <c r="K486" s="18"/>
      <c r="L486" s="18"/>
      <c r="M486" s="20"/>
      <c r="N486" s="37">
        <f t="shared" si="17"/>
        <v>0</v>
      </c>
      <c r="O486" s="21">
        <v>0.23300000000000001</v>
      </c>
      <c r="P486" s="22">
        <v>3.6299999999999999E-4</v>
      </c>
    </row>
    <row r="487" spans="1:16" s="1" customFormat="1" ht="119.1" customHeight="1" outlineLevel="4" x14ac:dyDescent="0.2">
      <c r="A487" s="11">
        <v>188060</v>
      </c>
      <c r="B487" s="12" t="s">
        <v>933</v>
      </c>
      <c r="C487" s="12" t="s">
        <v>22</v>
      </c>
      <c r="D487" s="13"/>
      <c r="E487" s="14" t="s">
        <v>934</v>
      </c>
      <c r="F487" s="15" t="s">
        <v>24</v>
      </c>
      <c r="G487" s="16"/>
      <c r="H487" s="36">
        <v>363.8</v>
      </c>
      <c r="I487" s="36">
        <f>ROUND(H487-(H487*I2/100),2)</f>
        <v>363.8</v>
      </c>
      <c r="J487" s="17">
        <v>47</v>
      </c>
      <c r="K487" s="18"/>
      <c r="L487" s="18"/>
      <c r="M487" s="20"/>
      <c r="N487" s="37">
        <f t="shared" si="17"/>
        <v>0</v>
      </c>
      <c r="O487" s="21">
        <v>0.22</v>
      </c>
      <c r="P487" s="22">
        <v>3.6299999999999999E-4</v>
      </c>
    </row>
    <row r="488" spans="1:16" s="1" customFormat="1" ht="119.1" customHeight="1" outlineLevel="4" x14ac:dyDescent="0.2">
      <c r="A488" s="11">
        <v>192875</v>
      </c>
      <c r="B488" s="12" t="s">
        <v>935</v>
      </c>
      <c r="C488" s="12" t="s">
        <v>22</v>
      </c>
      <c r="D488" s="13"/>
      <c r="E488" s="14" t="s">
        <v>936</v>
      </c>
      <c r="F488" s="15" t="s">
        <v>24</v>
      </c>
      <c r="G488" s="16"/>
      <c r="H488" s="36">
        <v>313.2</v>
      </c>
      <c r="I488" s="36">
        <f>ROUND(H488-(H488*I2/100),2)</f>
        <v>313.2</v>
      </c>
      <c r="J488" s="17">
        <v>32</v>
      </c>
      <c r="K488" s="18"/>
      <c r="L488" s="18"/>
      <c r="M488" s="20"/>
      <c r="N488" s="37">
        <f t="shared" si="17"/>
        <v>0</v>
      </c>
      <c r="O488" s="21">
        <v>0.23300000000000001</v>
      </c>
      <c r="P488" s="22">
        <v>3.6299999999999999E-4</v>
      </c>
    </row>
    <row r="489" spans="1:16" s="1" customFormat="1" ht="119.1" customHeight="1" outlineLevel="4" x14ac:dyDescent="0.2">
      <c r="A489" s="11">
        <v>188059</v>
      </c>
      <c r="B489" s="12" t="s">
        <v>937</v>
      </c>
      <c r="C489" s="12" t="s">
        <v>22</v>
      </c>
      <c r="D489" s="13"/>
      <c r="E489" s="14" t="s">
        <v>938</v>
      </c>
      <c r="F489" s="15" t="s">
        <v>24</v>
      </c>
      <c r="G489" s="16"/>
      <c r="H489" s="36">
        <v>365.2</v>
      </c>
      <c r="I489" s="36">
        <f>ROUND(H489-(H489*I2/100),2)</f>
        <v>365.2</v>
      </c>
      <c r="J489" s="17">
        <v>71</v>
      </c>
      <c r="K489" s="18"/>
      <c r="L489" s="18"/>
      <c r="M489" s="20"/>
      <c r="N489" s="37">
        <f t="shared" si="17"/>
        <v>0</v>
      </c>
      <c r="O489" s="21">
        <v>0.23300000000000001</v>
      </c>
      <c r="P489" s="22">
        <v>3.6299999999999999E-4</v>
      </c>
    </row>
    <row r="490" spans="1:16" s="8" customFormat="1" ht="15.95" customHeight="1" outlineLevel="3" x14ac:dyDescent="0.25">
      <c r="A490" s="9"/>
      <c r="B490" s="10"/>
      <c r="C490" s="10"/>
      <c r="D490" s="10" t="s">
        <v>939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spans="1:16" s="1" customFormat="1" ht="119.1" customHeight="1" outlineLevel="4" x14ac:dyDescent="0.2">
      <c r="A491" s="11">
        <v>184215</v>
      </c>
      <c r="B491" s="12" t="s">
        <v>940</v>
      </c>
      <c r="C491" s="12" t="s">
        <v>22</v>
      </c>
      <c r="D491" s="13"/>
      <c r="E491" s="14" t="s">
        <v>941</v>
      </c>
      <c r="F491" s="15" t="s">
        <v>24</v>
      </c>
      <c r="G491" s="16"/>
      <c r="H491" s="36">
        <v>1810</v>
      </c>
      <c r="I491" s="36">
        <f>ROUND(H491-(H491*I2/100),2)</f>
        <v>1810</v>
      </c>
      <c r="J491" s="17">
        <v>20</v>
      </c>
      <c r="K491" s="18"/>
      <c r="L491" s="18"/>
      <c r="M491" s="20"/>
      <c r="N491" s="37">
        <f t="shared" ref="N491:N499" si="18">I491*M491</f>
        <v>0</v>
      </c>
      <c r="O491" s="21">
        <v>1.95</v>
      </c>
      <c r="P491" s="22">
        <v>2.5730000000000002E-3</v>
      </c>
    </row>
    <row r="492" spans="1:16" s="1" customFormat="1" ht="119.1" customHeight="1" outlineLevel="4" x14ac:dyDescent="0.2">
      <c r="A492" s="11">
        <v>183261</v>
      </c>
      <c r="B492" s="12" t="s">
        <v>942</v>
      </c>
      <c r="C492" s="12" t="s">
        <v>22</v>
      </c>
      <c r="D492" s="13"/>
      <c r="E492" s="14" t="s">
        <v>943</v>
      </c>
      <c r="F492" s="15" t="s">
        <v>24</v>
      </c>
      <c r="G492" s="16"/>
      <c r="H492" s="36">
        <v>896.5</v>
      </c>
      <c r="I492" s="36">
        <f>ROUND(H492-(H492*I2/100),2)</f>
        <v>896.5</v>
      </c>
      <c r="J492" s="17">
        <v>55</v>
      </c>
      <c r="K492" s="18"/>
      <c r="L492" s="18"/>
      <c r="M492" s="20"/>
      <c r="N492" s="37">
        <f t="shared" si="18"/>
        <v>0</v>
      </c>
      <c r="O492" s="21">
        <v>0.52100000000000002</v>
      </c>
      <c r="P492" s="22">
        <v>8.6600000000000002E-4</v>
      </c>
    </row>
    <row r="493" spans="1:16" s="1" customFormat="1" ht="119.1" customHeight="1" outlineLevel="4" x14ac:dyDescent="0.2">
      <c r="A493" s="11">
        <v>196126</v>
      </c>
      <c r="B493" s="12" t="s">
        <v>944</v>
      </c>
      <c r="C493" s="12" t="s">
        <v>50</v>
      </c>
      <c r="D493" s="13"/>
      <c r="E493" s="14" t="s">
        <v>945</v>
      </c>
      <c r="F493" s="15" t="s">
        <v>24</v>
      </c>
      <c r="G493" s="16"/>
      <c r="H493" s="36">
        <v>293.8</v>
      </c>
      <c r="I493" s="36">
        <f>ROUND(H493-(H493*I2/100),2)</f>
        <v>293.8</v>
      </c>
      <c r="J493" s="17">
        <v>155</v>
      </c>
      <c r="K493" s="18"/>
      <c r="L493" s="18"/>
      <c r="M493" s="20"/>
      <c r="N493" s="37">
        <f t="shared" si="18"/>
        <v>0</v>
      </c>
      <c r="O493" s="21">
        <v>0.48399999999999999</v>
      </c>
      <c r="P493" s="22">
        <v>1.0449999999999999E-3</v>
      </c>
    </row>
    <row r="494" spans="1:16" s="1" customFormat="1" ht="119.1" customHeight="1" outlineLevel="4" x14ac:dyDescent="0.2">
      <c r="A494" s="11">
        <v>205881</v>
      </c>
      <c r="B494" s="12" t="s">
        <v>946</v>
      </c>
      <c r="C494" s="12" t="s">
        <v>50</v>
      </c>
      <c r="D494" s="13"/>
      <c r="E494" s="14" t="s">
        <v>947</v>
      </c>
      <c r="F494" s="15" t="s">
        <v>24</v>
      </c>
      <c r="G494" s="16"/>
      <c r="H494" s="36">
        <v>841.5</v>
      </c>
      <c r="I494" s="36">
        <f>ROUND(H494-(H494*I2/100),2)</f>
        <v>841.5</v>
      </c>
      <c r="J494" s="17">
        <v>15</v>
      </c>
      <c r="K494" s="18"/>
      <c r="L494" s="18"/>
      <c r="M494" s="20"/>
      <c r="N494" s="37">
        <f t="shared" si="18"/>
        <v>0</v>
      </c>
      <c r="O494" s="21">
        <v>3.0000000000000001E-3</v>
      </c>
      <c r="P494" s="22">
        <v>2.673E-3</v>
      </c>
    </row>
    <row r="495" spans="1:16" s="1" customFormat="1" ht="119.1" customHeight="1" outlineLevel="4" x14ac:dyDescent="0.2">
      <c r="A495" s="11">
        <v>165341</v>
      </c>
      <c r="B495" s="12" t="s">
        <v>948</v>
      </c>
      <c r="C495" s="12" t="s">
        <v>22</v>
      </c>
      <c r="D495" s="13"/>
      <c r="E495" s="14" t="s">
        <v>949</v>
      </c>
      <c r="F495" s="15" t="s">
        <v>24</v>
      </c>
      <c r="G495" s="16"/>
      <c r="H495" s="36">
        <v>570.70000000000005</v>
      </c>
      <c r="I495" s="36">
        <f>ROUND(H495-(H495*I2/100),2)</f>
        <v>570.70000000000005</v>
      </c>
      <c r="J495" s="17">
        <v>13</v>
      </c>
      <c r="K495" s="18"/>
      <c r="L495" s="18"/>
      <c r="M495" s="20"/>
      <c r="N495" s="37">
        <f t="shared" si="18"/>
        <v>0</v>
      </c>
      <c r="O495" s="21">
        <v>0.61299999999999999</v>
      </c>
      <c r="P495" s="22">
        <v>2.1519999999999998E-3</v>
      </c>
    </row>
    <row r="496" spans="1:16" s="1" customFormat="1" ht="119.1" customHeight="1" outlineLevel="4" x14ac:dyDescent="0.2">
      <c r="A496" s="11">
        <v>167365</v>
      </c>
      <c r="B496" s="12" t="s">
        <v>950</v>
      </c>
      <c r="C496" s="12" t="s">
        <v>22</v>
      </c>
      <c r="D496" s="13"/>
      <c r="E496" s="14" t="s">
        <v>951</v>
      </c>
      <c r="F496" s="15" t="s">
        <v>24</v>
      </c>
      <c r="G496" s="16"/>
      <c r="H496" s="36">
        <v>410.8</v>
      </c>
      <c r="I496" s="36">
        <f>ROUND(H496-(H496*I2/100),2)</f>
        <v>410.8</v>
      </c>
      <c r="J496" s="17">
        <v>292</v>
      </c>
      <c r="K496" s="18"/>
      <c r="L496" s="18"/>
      <c r="M496" s="20"/>
      <c r="N496" s="37">
        <f t="shared" si="18"/>
        <v>0</v>
      </c>
      <c r="O496" s="21">
        <v>0.57499999999999996</v>
      </c>
      <c r="P496" s="22">
        <v>1.469E-3</v>
      </c>
    </row>
    <row r="497" spans="1:16" s="1" customFormat="1" ht="119.1" customHeight="1" outlineLevel="4" x14ac:dyDescent="0.2">
      <c r="A497" s="11">
        <v>165285</v>
      </c>
      <c r="B497" s="12" t="s">
        <v>952</v>
      </c>
      <c r="C497" s="12" t="s">
        <v>22</v>
      </c>
      <c r="D497" s="13"/>
      <c r="E497" s="14" t="s">
        <v>953</v>
      </c>
      <c r="F497" s="15" t="s">
        <v>24</v>
      </c>
      <c r="G497" s="16"/>
      <c r="H497" s="36">
        <v>919.2</v>
      </c>
      <c r="I497" s="36">
        <f>ROUND(H497-(H497*I2/100),2)</f>
        <v>919.2</v>
      </c>
      <c r="J497" s="17">
        <v>92</v>
      </c>
      <c r="K497" s="18"/>
      <c r="L497" s="18"/>
      <c r="M497" s="20"/>
      <c r="N497" s="37">
        <f t="shared" si="18"/>
        <v>0</v>
      </c>
      <c r="O497" s="21">
        <v>0.72899999999999998</v>
      </c>
      <c r="P497" s="22">
        <v>2.313E-3</v>
      </c>
    </row>
    <row r="498" spans="1:16" s="1" customFormat="1" ht="119.1" customHeight="1" outlineLevel="4" x14ac:dyDescent="0.2">
      <c r="A498" s="11">
        <v>205879</v>
      </c>
      <c r="B498" s="12" t="s">
        <v>954</v>
      </c>
      <c r="C498" s="12" t="s">
        <v>50</v>
      </c>
      <c r="D498" s="13"/>
      <c r="E498" s="14" t="s">
        <v>955</v>
      </c>
      <c r="F498" s="15" t="s">
        <v>24</v>
      </c>
      <c r="G498" s="16"/>
      <c r="H498" s="36">
        <v>1788.2</v>
      </c>
      <c r="I498" s="36">
        <f>ROUND(H498-(H498*I2/100),2)</f>
        <v>1788.2</v>
      </c>
      <c r="J498" s="17">
        <v>48</v>
      </c>
      <c r="K498" s="18"/>
      <c r="L498" s="18"/>
      <c r="M498" s="20"/>
      <c r="N498" s="37">
        <f t="shared" si="18"/>
        <v>0</v>
      </c>
      <c r="O498" s="21">
        <v>4.0000000000000001E-3</v>
      </c>
      <c r="P498" s="22">
        <v>3.7620000000000002E-3</v>
      </c>
    </row>
    <row r="499" spans="1:16" s="1" customFormat="1" ht="119.1" customHeight="1" outlineLevel="4" x14ac:dyDescent="0.2">
      <c r="A499" s="11">
        <v>205880</v>
      </c>
      <c r="B499" s="12" t="s">
        <v>956</v>
      </c>
      <c r="C499" s="12" t="s">
        <v>50</v>
      </c>
      <c r="D499" s="13"/>
      <c r="E499" s="14" t="s">
        <v>957</v>
      </c>
      <c r="F499" s="15" t="s">
        <v>24</v>
      </c>
      <c r="G499" s="16"/>
      <c r="H499" s="36">
        <v>3294.8</v>
      </c>
      <c r="I499" s="36">
        <f>ROUND(H499-(H499*I2/100),2)</f>
        <v>3294.8</v>
      </c>
      <c r="J499" s="17">
        <v>19</v>
      </c>
      <c r="K499" s="18"/>
      <c r="L499" s="18"/>
      <c r="M499" s="20"/>
      <c r="N499" s="37">
        <f t="shared" si="18"/>
        <v>0</v>
      </c>
      <c r="O499" s="21">
        <v>8.0000000000000002E-3</v>
      </c>
      <c r="P499" s="22">
        <v>8.3979999999999992E-3</v>
      </c>
    </row>
    <row r="500" spans="1:16" s="8" customFormat="1" ht="15.95" customHeight="1" outlineLevel="3" x14ac:dyDescent="0.25">
      <c r="A500" s="9"/>
      <c r="B500" s="10"/>
      <c r="C500" s="10"/>
      <c r="D500" s="10" t="s">
        <v>958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spans="1:16" s="1" customFormat="1" ht="119.1" customHeight="1" outlineLevel="4" x14ac:dyDescent="0.2">
      <c r="A501" s="11">
        <v>184849</v>
      </c>
      <c r="B501" s="12" t="s">
        <v>959</v>
      </c>
      <c r="C501" s="12" t="s">
        <v>22</v>
      </c>
      <c r="D501" s="13"/>
      <c r="E501" s="14" t="s">
        <v>960</v>
      </c>
      <c r="F501" s="15" t="s">
        <v>24</v>
      </c>
      <c r="G501" s="16"/>
      <c r="H501" s="36">
        <v>298.39999999999998</v>
      </c>
      <c r="I501" s="36">
        <f>ROUND(H501-(H501*I2/100),2)</f>
        <v>298.39999999999998</v>
      </c>
      <c r="J501" s="17">
        <v>2</v>
      </c>
      <c r="K501" s="18"/>
      <c r="L501" s="18"/>
      <c r="M501" s="20"/>
      <c r="N501" s="37">
        <f>I501*M501</f>
        <v>0</v>
      </c>
      <c r="O501" s="21">
        <v>0.73299999999999998</v>
      </c>
      <c r="P501" s="22">
        <v>2.117E-3</v>
      </c>
    </row>
    <row r="502" spans="1:16" s="1" customFormat="1" ht="119.1" customHeight="1" outlineLevel="4" x14ac:dyDescent="0.2">
      <c r="A502" s="11">
        <v>216863</v>
      </c>
      <c r="B502" s="12" t="s">
        <v>961</v>
      </c>
      <c r="C502" s="12" t="s">
        <v>50</v>
      </c>
      <c r="D502" s="13"/>
      <c r="E502" s="14" t="s">
        <v>962</v>
      </c>
      <c r="F502" s="15" t="s">
        <v>24</v>
      </c>
      <c r="G502" s="16"/>
      <c r="H502" s="36">
        <v>290.8</v>
      </c>
      <c r="I502" s="36">
        <f>ROUND(H502-(H502*I2/100),2)</f>
        <v>290.8</v>
      </c>
      <c r="J502" s="17">
        <v>30</v>
      </c>
      <c r="K502" s="18"/>
      <c r="L502" s="18"/>
      <c r="M502" s="20"/>
      <c r="N502" s="37">
        <f>I502*M502</f>
        <v>0</v>
      </c>
      <c r="O502" s="21">
        <v>0.69399999999999995</v>
      </c>
      <c r="P502" s="22">
        <v>2.117E-3</v>
      </c>
    </row>
    <row r="503" spans="1:16" s="8" customFormat="1" ht="15.95" customHeight="1" outlineLevel="3" x14ac:dyDescent="0.25">
      <c r="A503" s="9"/>
      <c r="B503" s="10"/>
      <c r="C503" s="10"/>
      <c r="D503" s="10" t="s">
        <v>963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spans="1:16" s="1" customFormat="1" ht="119.1" customHeight="1" outlineLevel="4" x14ac:dyDescent="0.2">
      <c r="A504" s="11">
        <v>196224</v>
      </c>
      <c r="B504" s="12" t="s">
        <v>964</v>
      </c>
      <c r="C504" s="12" t="s">
        <v>22</v>
      </c>
      <c r="D504" s="13"/>
      <c r="E504" s="14" t="s">
        <v>965</v>
      </c>
      <c r="F504" s="15" t="s">
        <v>24</v>
      </c>
      <c r="G504" s="16"/>
      <c r="H504" s="36">
        <v>273.2</v>
      </c>
      <c r="I504" s="36">
        <f>ROUND(H504-(H504*I2/100),2)</f>
        <v>273.2</v>
      </c>
      <c r="J504" s="17">
        <v>283</v>
      </c>
      <c r="K504" s="18"/>
      <c r="L504" s="18"/>
      <c r="M504" s="20"/>
      <c r="N504" s="37">
        <f>I504*M504</f>
        <v>0</v>
      </c>
      <c r="O504" s="21">
        <v>0.495</v>
      </c>
      <c r="P504" s="22">
        <v>1.134E-3</v>
      </c>
    </row>
    <row r="505" spans="1:16" s="1" customFormat="1" ht="119.1" customHeight="1" outlineLevel="4" x14ac:dyDescent="0.2">
      <c r="A505" s="11">
        <v>196227</v>
      </c>
      <c r="B505" s="12" t="s">
        <v>966</v>
      </c>
      <c r="C505" s="12" t="s">
        <v>22</v>
      </c>
      <c r="D505" s="13"/>
      <c r="E505" s="14" t="s">
        <v>967</v>
      </c>
      <c r="F505" s="15" t="s">
        <v>24</v>
      </c>
      <c r="G505" s="16"/>
      <c r="H505" s="36">
        <v>446.4</v>
      </c>
      <c r="I505" s="36">
        <f>ROUND(H505-(H505*I2/100),2)</f>
        <v>446.4</v>
      </c>
      <c r="J505" s="17">
        <v>115</v>
      </c>
      <c r="K505" s="18"/>
      <c r="L505" s="18"/>
      <c r="M505" s="20"/>
      <c r="N505" s="37">
        <f>I505*M505</f>
        <v>0</v>
      </c>
      <c r="O505" s="21">
        <v>0.66700000000000004</v>
      </c>
      <c r="P505" s="22">
        <v>1.6720000000000001E-3</v>
      </c>
    </row>
    <row r="506" spans="1:16" s="1" customFormat="1" ht="119.1" customHeight="1" outlineLevel="4" x14ac:dyDescent="0.2">
      <c r="A506" s="11">
        <v>196225</v>
      </c>
      <c r="B506" s="12" t="s">
        <v>968</v>
      </c>
      <c r="C506" s="12" t="s">
        <v>22</v>
      </c>
      <c r="D506" s="13"/>
      <c r="E506" s="14" t="s">
        <v>969</v>
      </c>
      <c r="F506" s="15" t="s">
        <v>24</v>
      </c>
      <c r="G506" s="16"/>
      <c r="H506" s="36">
        <v>363.8</v>
      </c>
      <c r="I506" s="36">
        <f>ROUND(H506-(H506*I2/100),2)</f>
        <v>363.8</v>
      </c>
      <c r="J506" s="17">
        <v>220</v>
      </c>
      <c r="K506" s="18"/>
      <c r="L506" s="18"/>
      <c r="M506" s="20"/>
      <c r="N506" s="37">
        <f>I506*M506</f>
        <v>0</v>
      </c>
      <c r="O506" s="21">
        <v>0.70799999999999996</v>
      </c>
      <c r="P506" s="22">
        <v>1.6720000000000001E-3</v>
      </c>
    </row>
    <row r="507" spans="1:16" s="8" customFormat="1" ht="15.95" customHeight="1" outlineLevel="3" x14ac:dyDescent="0.25">
      <c r="A507" s="9"/>
      <c r="B507" s="10"/>
      <c r="C507" s="10"/>
      <c r="D507" s="10" t="s">
        <v>970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spans="1:16" s="1" customFormat="1" ht="119.1" customHeight="1" outlineLevel="4" x14ac:dyDescent="0.2">
      <c r="A508" s="11">
        <v>216878</v>
      </c>
      <c r="B508" s="12" t="s">
        <v>971</v>
      </c>
      <c r="C508" s="12" t="s">
        <v>50</v>
      </c>
      <c r="D508" s="13"/>
      <c r="E508" s="14" t="s">
        <v>972</v>
      </c>
      <c r="F508" s="15" t="s">
        <v>24</v>
      </c>
      <c r="G508" s="16"/>
      <c r="H508" s="36">
        <v>244.2</v>
      </c>
      <c r="I508" s="36">
        <f>ROUND(H508-(H508*I2/100),2)</f>
        <v>244.2</v>
      </c>
      <c r="J508" s="27">
        <v>1000</v>
      </c>
      <c r="K508" s="18"/>
      <c r="L508" s="18"/>
      <c r="M508" s="20"/>
      <c r="N508" s="37">
        <f t="shared" ref="N508:N526" si="19">I508*M508</f>
        <v>0</v>
      </c>
      <c r="O508" s="21">
        <v>0.222</v>
      </c>
      <c r="P508" s="22">
        <v>1.65E-4</v>
      </c>
    </row>
    <row r="509" spans="1:16" s="1" customFormat="1" ht="119.1" customHeight="1" outlineLevel="4" x14ac:dyDescent="0.2">
      <c r="A509" s="11">
        <v>165254</v>
      </c>
      <c r="B509" s="12" t="s">
        <v>973</v>
      </c>
      <c r="C509" s="12" t="s">
        <v>22</v>
      </c>
      <c r="D509" s="13"/>
      <c r="E509" s="14" t="s">
        <v>974</v>
      </c>
      <c r="F509" s="15" t="s">
        <v>24</v>
      </c>
      <c r="G509" s="16"/>
      <c r="H509" s="36">
        <v>522</v>
      </c>
      <c r="I509" s="36">
        <f>ROUND(H509-(H509*I2/100),2)</f>
        <v>522</v>
      </c>
      <c r="J509" s="17">
        <v>21</v>
      </c>
      <c r="K509" s="18"/>
      <c r="L509" s="18"/>
      <c r="M509" s="20"/>
      <c r="N509" s="37">
        <f t="shared" si="19"/>
        <v>0</v>
      </c>
      <c r="O509" s="21">
        <v>0.41699999999999998</v>
      </c>
      <c r="P509" s="22">
        <v>6.4199999999999999E-4</v>
      </c>
    </row>
    <row r="510" spans="1:16" s="1" customFormat="1" ht="119.1" customHeight="1" outlineLevel="4" x14ac:dyDescent="0.2">
      <c r="A510" s="11">
        <v>170556</v>
      </c>
      <c r="B510" s="12" t="s">
        <v>975</v>
      </c>
      <c r="C510" s="12" t="s">
        <v>22</v>
      </c>
      <c r="D510" s="13"/>
      <c r="E510" s="14" t="s">
        <v>976</v>
      </c>
      <c r="F510" s="15" t="s">
        <v>24</v>
      </c>
      <c r="G510" s="16"/>
      <c r="H510" s="36">
        <v>555.9</v>
      </c>
      <c r="I510" s="36">
        <f>ROUND(H510-(H510*I2/100),2)</f>
        <v>555.9</v>
      </c>
      <c r="J510" s="17">
        <v>7</v>
      </c>
      <c r="K510" s="18"/>
      <c r="L510" s="18"/>
      <c r="M510" s="20"/>
      <c r="N510" s="37">
        <f t="shared" si="19"/>
        <v>0</v>
      </c>
      <c r="O510" s="21">
        <v>0.45300000000000001</v>
      </c>
      <c r="P510" s="22">
        <v>4.1899999999999999E-4</v>
      </c>
    </row>
    <row r="511" spans="1:16" s="1" customFormat="1" ht="119.1" customHeight="1" outlineLevel="4" x14ac:dyDescent="0.2">
      <c r="A511" s="11">
        <v>169065</v>
      </c>
      <c r="B511" s="12" t="s">
        <v>977</v>
      </c>
      <c r="C511" s="12" t="s">
        <v>22</v>
      </c>
      <c r="D511" s="13"/>
      <c r="E511" s="14" t="s">
        <v>978</v>
      </c>
      <c r="F511" s="15" t="s">
        <v>24</v>
      </c>
      <c r="G511" s="16"/>
      <c r="H511" s="36">
        <v>907.5</v>
      </c>
      <c r="I511" s="36">
        <f>ROUND(H511-(H511*I2/100),2)</f>
        <v>907.5</v>
      </c>
      <c r="J511" s="17">
        <v>35</v>
      </c>
      <c r="K511" s="18"/>
      <c r="L511" s="18"/>
      <c r="M511" s="20"/>
      <c r="N511" s="37">
        <f t="shared" si="19"/>
        <v>0</v>
      </c>
      <c r="O511" s="21">
        <v>0.40300000000000002</v>
      </c>
      <c r="P511" s="22">
        <v>4.4999999999999999E-4</v>
      </c>
    </row>
    <row r="512" spans="1:16" s="1" customFormat="1" ht="119.1" customHeight="1" outlineLevel="4" x14ac:dyDescent="0.2">
      <c r="A512" s="11">
        <v>216879</v>
      </c>
      <c r="B512" s="12" t="s">
        <v>979</v>
      </c>
      <c r="C512" s="12" t="s">
        <v>50</v>
      </c>
      <c r="D512" s="13"/>
      <c r="E512" s="14" t="s">
        <v>980</v>
      </c>
      <c r="F512" s="15" t="s">
        <v>24</v>
      </c>
      <c r="G512" s="16"/>
      <c r="H512" s="36">
        <v>309.2</v>
      </c>
      <c r="I512" s="36">
        <f>ROUND(H512-(H512*I2/100),2)</f>
        <v>309.2</v>
      </c>
      <c r="J512" s="17">
        <v>465</v>
      </c>
      <c r="K512" s="18"/>
      <c r="L512" s="18"/>
      <c r="M512" s="20"/>
      <c r="N512" s="37">
        <f t="shared" si="19"/>
        <v>0</v>
      </c>
      <c r="O512" s="21">
        <v>0.38300000000000001</v>
      </c>
      <c r="P512" s="22">
        <v>4.8000000000000001E-4</v>
      </c>
    </row>
    <row r="513" spans="1:16" s="1" customFormat="1" ht="119.1" customHeight="1" outlineLevel="4" x14ac:dyDescent="0.2">
      <c r="A513" s="11">
        <v>216880</v>
      </c>
      <c r="B513" s="12" t="s">
        <v>981</v>
      </c>
      <c r="C513" s="12" t="s">
        <v>50</v>
      </c>
      <c r="D513" s="13"/>
      <c r="E513" s="14" t="s">
        <v>982</v>
      </c>
      <c r="F513" s="15" t="s">
        <v>24</v>
      </c>
      <c r="G513" s="16"/>
      <c r="H513" s="36">
        <v>454.2</v>
      </c>
      <c r="I513" s="36">
        <f>ROUND(H513-(H513*I2/100),2)</f>
        <v>454.2</v>
      </c>
      <c r="J513" s="17">
        <v>293</v>
      </c>
      <c r="K513" s="18"/>
      <c r="L513" s="18"/>
      <c r="M513" s="20"/>
      <c r="N513" s="37">
        <f t="shared" si="19"/>
        <v>0</v>
      </c>
      <c r="O513" s="21">
        <v>0.54200000000000004</v>
      </c>
      <c r="P513" s="22">
        <v>6.4800000000000003E-4</v>
      </c>
    </row>
    <row r="514" spans="1:16" s="1" customFormat="1" ht="119.1" customHeight="1" outlineLevel="4" x14ac:dyDescent="0.2">
      <c r="A514" s="11">
        <v>189123</v>
      </c>
      <c r="B514" s="12" t="s">
        <v>983</v>
      </c>
      <c r="C514" s="12" t="s">
        <v>22</v>
      </c>
      <c r="D514" s="13"/>
      <c r="E514" s="14" t="s">
        <v>984</v>
      </c>
      <c r="F514" s="15" t="s">
        <v>24</v>
      </c>
      <c r="G514" s="16"/>
      <c r="H514" s="36">
        <v>303.8</v>
      </c>
      <c r="I514" s="36">
        <f>ROUND(H514-(H514*I2/100),2)</f>
        <v>303.8</v>
      </c>
      <c r="J514" s="17">
        <v>1</v>
      </c>
      <c r="K514" s="18"/>
      <c r="L514" s="18"/>
      <c r="M514" s="20"/>
      <c r="N514" s="37">
        <f t="shared" si="19"/>
        <v>0</v>
      </c>
      <c r="O514" s="21">
        <v>0.19400000000000001</v>
      </c>
      <c r="P514" s="22">
        <v>5.53E-4</v>
      </c>
    </row>
    <row r="515" spans="1:16" s="1" customFormat="1" ht="119.1" customHeight="1" outlineLevel="4" x14ac:dyDescent="0.2">
      <c r="A515" s="11">
        <v>197340</v>
      </c>
      <c r="B515" s="12" t="s">
        <v>985</v>
      </c>
      <c r="C515" s="12" t="s">
        <v>50</v>
      </c>
      <c r="D515" s="13"/>
      <c r="E515" s="14" t="s">
        <v>986</v>
      </c>
      <c r="F515" s="15" t="s">
        <v>24</v>
      </c>
      <c r="G515" s="16"/>
      <c r="H515" s="36">
        <v>239.1</v>
      </c>
      <c r="I515" s="36">
        <f>ROUND(H515-(H515*I2/100),2)</f>
        <v>239.1</v>
      </c>
      <c r="J515" s="17">
        <v>30</v>
      </c>
      <c r="K515" s="18"/>
      <c r="L515" s="18"/>
      <c r="M515" s="20"/>
      <c r="N515" s="37">
        <f t="shared" si="19"/>
        <v>0</v>
      </c>
      <c r="O515" s="21">
        <v>0.151</v>
      </c>
      <c r="P515" s="22">
        <v>1.3100000000000001E-4</v>
      </c>
    </row>
    <row r="516" spans="1:16" s="1" customFormat="1" ht="119.1" customHeight="1" outlineLevel="4" x14ac:dyDescent="0.2">
      <c r="A516" s="11">
        <v>210392</v>
      </c>
      <c r="B516" s="12" t="s">
        <v>987</v>
      </c>
      <c r="C516" s="12" t="s">
        <v>50</v>
      </c>
      <c r="D516" s="13"/>
      <c r="E516" s="14" t="s">
        <v>988</v>
      </c>
      <c r="F516" s="15" t="s">
        <v>24</v>
      </c>
      <c r="G516" s="16"/>
      <c r="H516" s="36">
        <v>274.60000000000002</v>
      </c>
      <c r="I516" s="36">
        <f>ROUND(H516-(H516*I2/100),2)</f>
        <v>274.60000000000002</v>
      </c>
      <c r="J516" s="17">
        <v>20</v>
      </c>
      <c r="K516" s="18"/>
      <c r="L516" s="18"/>
      <c r="M516" s="20"/>
      <c r="N516" s="37">
        <f t="shared" si="19"/>
        <v>0</v>
      </c>
      <c r="O516" s="21">
        <v>0.3</v>
      </c>
      <c r="P516" s="22">
        <v>5.0000000000000001E-4</v>
      </c>
    </row>
    <row r="517" spans="1:16" s="1" customFormat="1" ht="119.1" customHeight="1" outlineLevel="4" x14ac:dyDescent="0.2">
      <c r="A517" s="11">
        <v>197341</v>
      </c>
      <c r="B517" s="12" t="s">
        <v>989</v>
      </c>
      <c r="C517" s="12" t="s">
        <v>50</v>
      </c>
      <c r="D517" s="13"/>
      <c r="E517" s="14" t="s">
        <v>990</v>
      </c>
      <c r="F517" s="15" t="s">
        <v>24</v>
      </c>
      <c r="G517" s="16"/>
      <c r="H517" s="36">
        <v>292.89999999999998</v>
      </c>
      <c r="I517" s="36">
        <f>ROUND(H517-(H517*I2/100),2)</f>
        <v>292.89999999999998</v>
      </c>
      <c r="J517" s="17">
        <v>32</v>
      </c>
      <c r="K517" s="18"/>
      <c r="L517" s="18"/>
      <c r="M517" s="20"/>
      <c r="N517" s="37">
        <f t="shared" si="19"/>
        <v>0</v>
      </c>
      <c r="O517" s="21">
        <v>0.29299999999999998</v>
      </c>
      <c r="P517" s="22">
        <v>2.7599999999999999E-4</v>
      </c>
    </row>
    <row r="518" spans="1:16" s="1" customFormat="1" ht="119.1" customHeight="1" outlineLevel="4" x14ac:dyDescent="0.2">
      <c r="A518" s="11">
        <v>169828</v>
      </c>
      <c r="B518" s="12" t="s">
        <v>991</v>
      </c>
      <c r="C518" s="12" t="s">
        <v>22</v>
      </c>
      <c r="D518" s="13"/>
      <c r="E518" s="14" t="s">
        <v>992</v>
      </c>
      <c r="F518" s="15" t="s">
        <v>24</v>
      </c>
      <c r="G518" s="16"/>
      <c r="H518" s="36">
        <v>347.4</v>
      </c>
      <c r="I518" s="36">
        <f>ROUND(H518-(H518*I2/100),2)</f>
        <v>347.4</v>
      </c>
      <c r="J518" s="17">
        <v>77</v>
      </c>
      <c r="K518" s="18"/>
      <c r="L518" s="18"/>
      <c r="M518" s="20"/>
      <c r="N518" s="37">
        <f t="shared" si="19"/>
        <v>0</v>
      </c>
      <c r="O518" s="21">
        <v>0.35</v>
      </c>
      <c r="P518" s="22">
        <v>6.8300000000000001E-4</v>
      </c>
    </row>
    <row r="519" spans="1:16" s="1" customFormat="1" ht="119.1" customHeight="1" outlineLevel="4" x14ac:dyDescent="0.2">
      <c r="A519" s="11">
        <v>197344</v>
      </c>
      <c r="B519" s="12" t="s">
        <v>993</v>
      </c>
      <c r="C519" s="12" t="s">
        <v>50</v>
      </c>
      <c r="D519" s="13"/>
      <c r="E519" s="14" t="s">
        <v>994</v>
      </c>
      <c r="F519" s="15" t="s">
        <v>24</v>
      </c>
      <c r="G519" s="16"/>
      <c r="H519" s="36">
        <v>326.3</v>
      </c>
      <c r="I519" s="36">
        <f>ROUND(H519-(H519*I2/100),2)</f>
        <v>326.3</v>
      </c>
      <c r="J519" s="17">
        <v>42</v>
      </c>
      <c r="K519" s="18"/>
      <c r="L519" s="18"/>
      <c r="M519" s="20"/>
      <c r="N519" s="37">
        <f t="shared" si="19"/>
        <v>0</v>
      </c>
      <c r="O519" s="21">
        <v>0.36</v>
      </c>
      <c r="P519" s="22">
        <v>4.3199999999999998E-4</v>
      </c>
    </row>
    <row r="520" spans="1:16" s="1" customFormat="1" ht="119.1" customHeight="1" outlineLevel="4" x14ac:dyDescent="0.2">
      <c r="A520" s="11">
        <v>169830</v>
      </c>
      <c r="B520" s="12" t="s">
        <v>995</v>
      </c>
      <c r="C520" s="12" t="s">
        <v>22</v>
      </c>
      <c r="D520" s="13"/>
      <c r="E520" s="14" t="s">
        <v>996</v>
      </c>
      <c r="F520" s="15" t="s">
        <v>24</v>
      </c>
      <c r="G520" s="16"/>
      <c r="H520" s="36">
        <v>482.8</v>
      </c>
      <c r="I520" s="36">
        <f>ROUND(H520-(H520*I2/100),2)</f>
        <v>482.8</v>
      </c>
      <c r="J520" s="17">
        <v>81</v>
      </c>
      <c r="K520" s="18"/>
      <c r="L520" s="18"/>
      <c r="M520" s="20"/>
      <c r="N520" s="37">
        <f t="shared" si="19"/>
        <v>0</v>
      </c>
      <c r="O520" s="21">
        <v>0.38300000000000001</v>
      </c>
      <c r="P520" s="22">
        <v>5.8E-4</v>
      </c>
    </row>
    <row r="521" spans="1:16" s="1" customFormat="1" ht="119.1" customHeight="1" outlineLevel="4" x14ac:dyDescent="0.2">
      <c r="A521" s="11">
        <v>210393</v>
      </c>
      <c r="B521" s="12" t="s">
        <v>997</v>
      </c>
      <c r="C521" s="12" t="s">
        <v>50</v>
      </c>
      <c r="D521" s="13"/>
      <c r="E521" s="14" t="s">
        <v>998</v>
      </c>
      <c r="F521" s="15" t="s">
        <v>24</v>
      </c>
      <c r="G521" s="16"/>
      <c r="H521" s="36">
        <v>571.1</v>
      </c>
      <c r="I521" s="36">
        <f>ROUND(H521-(H521*I2/100),2)</f>
        <v>571.1</v>
      </c>
      <c r="J521" s="17">
        <v>65</v>
      </c>
      <c r="K521" s="18"/>
      <c r="L521" s="18"/>
      <c r="M521" s="20"/>
      <c r="N521" s="37">
        <f t="shared" si="19"/>
        <v>0</v>
      </c>
      <c r="O521" s="21">
        <v>0.3</v>
      </c>
      <c r="P521" s="22">
        <v>5.0000000000000001E-4</v>
      </c>
    </row>
    <row r="522" spans="1:16" s="1" customFormat="1" ht="119.1" customHeight="1" outlineLevel="4" x14ac:dyDescent="0.2">
      <c r="A522" s="11">
        <v>197343</v>
      </c>
      <c r="B522" s="12" t="s">
        <v>999</v>
      </c>
      <c r="C522" s="12" t="s">
        <v>50</v>
      </c>
      <c r="D522" s="13"/>
      <c r="E522" s="14" t="s">
        <v>1000</v>
      </c>
      <c r="F522" s="15" t="s">
        <v>24</v>
      </c>
      <c r="G522" s="16"/>
      <c r="H522" s="36">
        <v>352.1</v>
      </c>
      <c r="I522" s="36">
        <f>ROUND(H522-(H522*I2/100),2)</f>
        <v>352.1</v>
      </c>
      <c r="J522" s="17">
        <v>36</v>
      </c>
      <c r="K522" s="18"/>
      <c r="L522" s="18"/>
      <c r="M522" s="20"/>
      <c r="N522" s="37">
        <f t="shared" si="19"/>
        <v>0</v>
      </c>
      <c r="O522" s="21">
        <v>0.44800000000000001</v>
      </c>
      <c r="P522" s="22">
        <v>5.04E-4</v>
      </c>
    </row>
    <row r="523" spans="1:16" s="1" customFormat="1" ht="119.1" customHeight="1" outlineLevel="4" x14ac:dyDescent="0.2">
      <c r="A523" s="11">
        <v>197342</v>
      </c>
      <c r="B523" s="12" t="s">
        <v>1001</v>
      </c>
      <c r="C523" s="12" t="s">
        <v>50</v>
      </c>
      <c r="D523" s="13"/>
      <c r="E523" s="14" t="s">
        <v>1002</v>
      </c>
      <c r="F523" s="15" t="s">
        <v>24</v>
      </c>
      <c r="G523" s="16"/>
      <c r="H523" s="36">
        <v>360.7</v>
      </c>
      <c r="I523" s="36">
        <f>ROUND(H523-(H523*I2/100),2)</f>
        <v>360.7</v>
      </c>
      <c r="J523" s="17">
        <v>31</v>
      </c>
      <c r="K523" s="18"/>
      <c r="L523" s="18"/>
      <c r="M523" s="20"/>
      <c r="N523" s="37">
        <f t="shared" si="19"/>
        <v>0</v>
      </c>
      <c r="O523" s="21">
        <v>0.44800000000000001</v>
      </c>
      <c r="P523" s="22">
        <v>7.5500000000000003E-4</v>
      </c>
    </row>
    <row r="524" spans="1:16" s="1" customFormat="1" ht="119.1" customHeight="1" outlineLevel="4" x14ac:dyDescent="0.2">
      <c r="A524" s="11">
        <v>181127</v>
      </c>
      <c r="B524" s="12" t="s">
        <v>1003</v>
      </c>
      <c r="C524" s="12" t="s">
        <v>22</v>
      </c>
      <c r="D524" s="13"/>
      <c r="E524" s="14" t="s">
        <v>1004</v>
      </c>
      <c r="F524" s="15" t="s">
        <v>24</v>
      </c>
      <c r="G524" s="16"/>
      <c r="H524" s="36">
        <v>700.2</v>
      </c>
      <c r="I524" s="36">
        <f>ROUND(H524-(H524*I2/100),2)</f>
        <v>700.2</v>
      </c>
      <c r="J524" s="17">
        <v>71</v>
      </c>
      <c r="K524" s="18"/>
      <c r="L524" s="18"/>
      <c r="M524" s="20"/>
      <c r="N524" s="37">
        <f t="shared" si="19"/>
        <v>0</v>
      </c>
      <c r="O524" s="21">
        <v>0.53300000000000003</v>
      </c>
      <c r="P524" s="22">
        <v>7.2499999999999995E-4</v>
      </c>
    </row>
    <row r="525" spans="1:16" s="1" customFormat="1" ht="119.1" customHeight="1" outlineLevel="4" x14ac:dyDescent="0.2">
      <c r="A525" s="11">
        <v>188057</v>
      </c>
      <c r="B525" s="12" t="s">
        <v>1005</v>
      </c>
      <c r="C525" s="12" t="s">
        <v>22</v>
      </c>
      <c r="D525" s="13"/>
      <c r="E525" s="14" t="s">
        <v>1006</v>
      </c>
      <c r="F525" s="15" t="s">
        <v>24</v>
      </c>
      <c r="G525" s="16"/>
      <c r="H525" s="36">
        <v>745.2</v>
      </c>
      <c r="I525" s="36">
        <f>ROUND(H525-(H525*I2/100),2)</f>
        <v>745.2</v>
      </c>
      <c r="J525" s="17">
        <v>1</v>
      </c>
      <c r="K525" s="18"/>
      <c r="L525" s="18"/>
      <c r="M525" s="20"/>
      <c r="N525" s="37">
        <f t="shared" si="19"/>
        <v>0</v>
      </c>
      <c r="O525" s="21">
        <v>0.53300000000000003</v>
      </c>
      <c r="P525" s="22">
        <v>7.2499999999999995E-4</v>
      </c>
    </row>
    <row r="526" spans="1:16" s="1" customFormat="1" ht="119.1" customHeight="1" outlineLevel="4" x14ac:dyDescent="0.2">
      <c r="A526" s="11">
        <v>200391</v>
      </c>
      <c r="B526" s="12" t="s">
        <v>1007</v>
      </c>
      <c r="C526" s="12" t="s">
        <v>22</v>
      </c>
      <c r="D526" s="13"/>
      <c r="E526" s="14" t="s">
        <v>1008</v>
      </c>
      <c r="F526" s="15" t="s">
        <v>113</v>
      </c>
      <c r="G526" s="16"/>
      <c r="H526" s="36">
        <v>2131.1</v>
      </c>
      <c r="I526" s="36">
        <f>ROUND(H526-(H526*I2/100),2)</f>
        <v>2131.1</v>
      </c>
      <c r="J526" s="17">
        <v>1</v>
      </c>
      <c r="K526" s="18"/>
      <c r="L526" s="18"/>
      <c r="M526" s="20"/>
      <c r="N526" s="37">
        <f t="shared" si="19"/>
        <v>0</v>
      </c>
      <c r="O526" s="21">
        <v>0.8</v>
      </c>
      <c r="P526" s="22">
        <v>8.0000000000000004E-4</v>
      </c>
    </row>
    <row r="527" spans="1:16" s="8" customFormat="1" ht="15.95" customHeight="1" outlineLevel="3" x14ac:dyDescent="0.25">
      <c r="A527" s="9"/>
      <c r="B527" s="10"/>
      <c r="C527" s="10"/>
      <c r="D527" s="10" t="s">
        <v>1009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spans="1:16" s="1" customFormat="1" ht="119.1" customHeight="1" outlineLevel="4" x14ac:dyDescent="0.2">
      <c r="A528" s="11">
        <v>207348</v>
      </c>
      <c r="B528" s="12" t="s">
        <v>1010</v>
      </c>
      <c r="C528" s="12" t="s">
        <v>50</v>
      </c>
      <c r="D528" s="13"/>
      <c r="E528" s="14" t="s">
        <v>1011</v>
      </c>
      <c r="F528" s="15" t="s">
        <v>24</v>
      </c>
      <c r="G528" s="16"/>
      <c r="H528" s="36">
        <v>782.4</v>
      </c>
      <c r="I528" s="36">
        <f>ROUND(H528-(H528*I2/100),2)</f>
        <v>782.4</v>
      </c>
      <c r="J528" s="17">
        <v>1</v>
      </c>
      <c r="K528" s="18"/>
      <c r="L528" s="18"/>
      <c r="M528" s="20"/>
      <c r="N528" s="37">
        <f t="shared" ref="N528:N559" si="20">I528*M528</f>
        <v>0</v>
      </c>
      <c r="O528" s="21">
        <v>1</v>
      </c>
      <c r="P528" s="22">
        <v>3.026E-3</v>
      </c>
    </row>
    <row r="529" spans="1:16" s="1" customFormat="1" ht="119.1" customHeight="1" outlineLevel="4" x14ac:dyDescent="0.2">
      <c r="A529" s="11">
        <v>165219</v>
      </c>
      <c r="B529" s="12" t="s">
        <v>1012</v>
      </c>
      <c r="C529" s="12" t="s">
        <v>22</v>
      </c>
      <c r="D529" s="13"/>
      <c r="E529" s="14" t="s">
        <v>1013</v>
      </c>
      <c r="F529" s="15" t="s">
        <v>24</v>
      </c>
      <c r="G529" s="16"/>
      <c r="H529" s="36">
        <v>81.2</v>
      </c>
      <c r="I529" s="36">
        <f>ROUND(H529-(H529*I2/100),2)</f>
        <v>81.2</v>
      </c>
      <c r="J529" s="17">
        <v>34</v>
      </c>
      <c r="K529" s="18"/>
      <c r="L529" s="18"/>
      <c r="M529" s="20"/>
      <c r="N529" s="37">
        <f t="shared" si="20"/>
        <v>0</v>
      </c>
      <c r="O529" s="21">
        <v>2.1999999999999999E-2</v>
      </c>
      <c r="P529" s="22">
        <v>1.4E-5</v>
      </c>
    </row>
    <row r="530" spans="1:16" s="1" customFormat="1" ht="119.1" customHeight="1" outlineLevel="4" x14ac:dyDescent="0.2">
      <c r="A530" s="11">
        <v>165220</v>
      </c>
      <c r="B530" s="12" t="s">
        <v>1014</v>
      </c>
      <c r="C530" s="12" t="s">
        <v>22</v>
      </c>
      <c r="D530" s="13"/>
      <c r="E530" s="14" t="s">
        <v>1015</v>
      </c>
      <c r="F530" s="15" t="s">
        <v>24</v>
      </c>
      <c r="G530" s="16"/>
      <c r="H530" s="36">
        <v>80.400000000000006</v>
      </c>
      <c r="I530" s="36">
        <f>ROUND(H530-(H530*I2/100),2)</f>
        <v>80.400000000000006</v>
      </c>
      <c r="J530" s="17">
        <v>92</v>
      </c>
      <c r="K530" s="18"/>
      <c r="L530" s="18"/>
      <c r="M530" s="20"/>
      <c r="N530" s="37">
        <f t="shared" si="20"/>
        <v>0</v>
      </c>
      <c r="O530" s="21">
        <v>3.1E-2</v>
      </c>
      <c r="P530" s="22">
        <v>1.7E-5</v>
      </c>
    </row>
    <row r="531" spans="1:16" s="1" customFormat="1" ht="119.1" customHeight="1" outlineLevel="4" x14ac:dyDescent="0.2">
      <c r="A531" s="11">
        <v>165221</v>
      </c>
      <c r="B531" s="12" t="s">
        <v>1016</v>
      </c>
      <c r="C531" s="12" t="s">
        <v>22</v>
      </c>
      <c r="D531" s="13"/>
      <c r="E531" s="14" t="s">
        <v>1017</v>
      </c>
      <c r="F531" s="15" t="s">
        <v>24</v>
      </c>
      <c r="G531" s="16"/>
      <c r="H531" s="36">
        <v>79.7</v>
      </c>
      <c r="I531" s="36">
        <f>ROUND(H531-(H531*I2/100),2)</f>
        <v>79.7</v>
      </c>
      <c r="J531" s="17">
        <v>142</v>
      </c>
      <c r="K531" s="18"/>
      <c r="L531" s="18"/>
      <c r="M531" s="20"/>
      <c r="N531" s="37">
        <f t="shared" si="20"/>
        <v>0</v>
      </c>
      <c r="O531" s="21">
        <v>3.3000000000000002E-2</v>
      </c>
      <c r="P531" s="22">
        <v>1.9000000000000001E-5</v>
      </c>
    </row>
    <row r="532" spans="1:16" s="1" customFormat="1" ht="119.1" customHeight="1" outlineLevel="4" x14ac:dyDescent="0.2">
      <c r="A532" s="11">
        <v>165222</v>
      </c>
      <c r="B532" s="12" t="s">
        <v>1018</v>
      </c>
      <c r="C532" s="12" t="s">
        <v>22</v>
      </c>
      <c r="D532" s="13"/>
      <c r="E532" s="14" t="s">
        <v>1019</v>
      </c>
      <c r="F532" s="15" t="s">
        <v>24</v>
      </c>
      <c r="G532" s="16"/>
      <c r="H532" s="36">
        <v>93.3</v>
      </c>
      <c r="I532" s="36">
        <f>ROUND(H532-(H532*I2/100),2)</f>
        <v>93.3</v>
      </c>
      <c r="J532" s="17">
        <v>274</v>
      </c>
      <c r="K532" s="18"/>
      <c r="L532" s="18"/>
      <c r="M532" s="20"/>
      <c r="N532" s="37">
        <f t="shared" si="20"/>
        <v>0</v>
      </c>
      <c r="O532" s="21">
        <v>3.5000000000000003E-2</v>
      </c>
      <c r="P532" s="22">
        <v>2.3E-5</v>
      </c>
    </row>
    <row r="533" spans="1:16" s="1" customFormat="1" ht="119.1" customHeight="1" outlineLevel="4" x14ac:dyDescent="0.2">
      <c r="A533" s="11">
        <v>165223</v>
      </c>
      <c r="B533" s="12" t="s">
        <v>1020</v>
      </c>
      <c r="C533" s="12" t="s">
        <v>22</v>
      </c>
      <c r="D533" s="13"/>
      <c r="E533" s="14" t="s">
        <v>1021</v>
      </c>
      <c r="F533" s="15" t="s">
        <v>24</v>
      </c>
      <c r="G533" s="16"/>
      <c r="H533" s="36">
        <v>102.8</v>
      </c>
      <c r="I533" s="36">
        <f>ROUND(H533-(H533*I2/100),2)</f>
        <v>102.8</v>
      </c>
      <c r="J533" s="17">
        <v>82</v>
      </c>
      <c r="K533" s="18"/>
      <c r="L533" s="18"/>
      <c r="M533" s="20"/>
      <c r="N533" s="37">
        <f t="shared" si="20"/>
        <v>0</v>
      </c>
      <c r="O533" s="21">
        <v>4.7E-2</v>
      </c>
      <c r="P533" s="22">
        <v>2.8E-5</v>
      </c>
    </row>
    <row r="534" spans="1:16" s="1" customFormat="1" ht="119.1" customHeight="1" outlineLevel="4" x14ac:dyDescent="0.2">
      <c r="A534" s="11">
        <v>165224</v>
      </c>
      <c r="B534" s="12" t="s">
        <v>1022</v>
      </c>
      <c r="C534" s="12" t="s">
        <v>22</v>
      </c>
      <c r="D534" s="13"/>
      <c r="E534" s="14" t="s">
        <v>1023</v>
      </c>
      <c r="F534" s="15" t="s">
        <v>24</v>
      </c>
      <c r="G534" s="16"/>
      <c r="H534" s="36">
        <v>105.5</v>
      </c>
      <c r="I534" s="36">
        <f>ROUND(H534-(H534*I2/100),2)</f>
        <v>105.5</v>
      </c>
      <c r="J534" s="17">
        <v>76</v>
      </c>
      <c r="K534" s="18"/>
      <c r="L534" s="18"/>
      <c r="M534" s="20"/>
      <c r="N534" s="37">
        <f t="shared" si="20"/>
        <v>0</v>
      </c>
      <c r="O534" s="21">
        <v>5.3999999999999999E-2</v>
      </c>
      <c r="P534" s="22">
        <v>3.6000000000000001E-5</v>
      </c>
    </row>
    <row r="535" spans="1:16" s="1" customFormat="1" ht="119.1" customHeight="1" outlineLevel="4" x14ac:dyDescent="0.2">
      <c r="A535" s="11">
        <v>165225</v>
      </c>
      <c r="B535" s="12" t="s">
        <v>1024</v>
      </c>
      <c r="C535" s="12" t="s">
        <v>22</v>
      </c>
      <c r="D535" s="13"/>
      <c r="E535" s="14" t="s">
        <v>1025</v>
      </c>
      <c r="F535" s="15" t="s">
        <v>24</v>
      </c>
      <c r="G535" s="16"/>
      <c r="H535" s="36">
        <v>117.6</v>
      </c>
      <c r="I535" s="36">
        <f>ROUND(H535-(H535*I2/100),2)</f>
        <v>117.6</v>
      </c>
      <c r="J535" s="17">
        <v>68</v>
      </c>
      <c r="K535" s="18"/>
      <c r="L535" s="18"/>
      <c r="M535" s="20"/>
      <c r="N535" s="37">
        <f t="shared" si="20"/>
        <v>0</v>
      </c>
      <c r="O535" s="21">
        <v>6.8000000000000005E-2</v>
      </c>
      <c r="P535" s="22">
        <v>4.3999999999999999E-5</v>
      </c>
    </row>
    <row r="536" spans="1:16" s="1" customFormat="1" ht="119.1" customHeight="1" outlineLevel="4" x14ac:dyDescent="0.2">
      <c r="A536" s="11">
        <v>165227</v>
      </c>
      <c r="B536" s="12" t="s">
        <v>1026</v>
      </c>
      <c r="C536" s="12" t="s">
        <v>22</v>
      </c>
      <c r="D536" s="13"/>
      <c r="E536" s="14" t="s">
        <v>1027</v>
      </c>
      <c r="F536" s="15" t="s">
        <v>24</v>
      </c>
      <c r="G536" s="16"/>
      <c r="H536" s="36">
        <v>129.9</v>
      </c>
      <c r="I536" s="36">
        <f>ROUND(H536-(H536*I2/100),2)</f>
        <v>129.9</v>
      </c>
      <c r="J536" s="17">
        <v>172</v>
      </c>
      <c r="K536" s="18"/>
      <c r="L536" s="18"/>
      <c r="M536" s="20"/>
      <c r="N536" s="37">
        <f t="shared" si="20"/>
        <v>0</v>
      </c>
      <c r="O536" s="21">
        <v>9.7000000000000003E-2</v>
      </c>
      <c r="P536" s="22">
        <v>6.3E-5</v>
      </c>
    </row>
    <row r="537" spans="1:16" s="1" customFormat="1" ht="119.1" customHeight="1" outlineLevel="4" x14ac:dyDescent="0.2">
      <c r="A537" s="11">
        <v>165228</v>
      </c>
      <c r="B537" s="12" t="s">
        <v>1028</v>
      </c>
      <c r="C537" s="12" t="s">
        <v>22</v>
      </c>
      <c r="D537" s="13"/>
      <c r="E537" s="14" t="s">
        <v>1029</v>
      </c>
      <c r="F537" s="15" t="s">
        <v>24</v>
      </c>
      <c r="G537" s="16"/>
      <c r="H537" s="36">
        <v>148.80000000000001</v>
      </c>
      <c r="I537" s="36">
        <f>ROUND(H537-(H537*I2/100),2)</f>
        <v>148.80000000000001</v>
      </c>
      <c r="J537" s="17">
        <v>4</v>
      </c>
      <c r="K537" s="18"/>
      <c r="L537" s="18"/>
      <c r="M537" s="20"/>
      <c r="N537" s="37">
        <f t="shared" si="20"/>
        <v>0</v>
      </c>
      <c r="O537" s="21">
        <v>0.106</v>
      </c>
      <c r="P537" s="22">
        <v>7.1000000000000005E-5</v>
      </c>
    </row>
    <row r="538" spans="1:16" s="1" customFormat="1" ht="119.1" customHeight="1" outlineLevel="4" x14ac:dyDescent="0.2">
      <c r="A538" s="11">
        <v>165229</v>
      </c>
      <c r="B538" s="12" t="s">
        <v>1030</v>
      </c>
      <c r="C538" s="12" t="s">
        <v>22</v>
      </c>
      <c r="D538" s="13"/>
      <c r="E538" s="14" t="s">
        <v>1031</v>
      </c>
      <c r="F538" s="15" t="s">
        <v>24</v>
      </c>
      <c r="G538" s="16"/>
      <c r="H538" s="36">
        <v>163.6</v>
      </c>
      <c r="I538" s="36">
        <f>ROUND(H538-(H538*I2/100),2)</f>
        <v>163.6</v>
      </c>
      <c r="J538" s="17">
        <v>174</v>
      </c>
      <c r="K538" s="18"/>
      <c r="L538" s="18"/>
      <c r="M538" s="20"/>
      <c r="N538" s="37">
        <f t="shared" si="20"/>
        <v>0</v>
      </c>
      <c r="O538" s="21">
        <v>0.128</v>
      </c>
      <c r="P538" s="22">
        <v>8.7000000000000001E-5</v>
      </c>
    </row>
    <row r="539" spans="1:16" s="1" customFormat="1" ht="119.1" customHeight="1" outlineLevel="4" x14ac:dyDescent="0.2">
      <c r="A539" s="11">
        <v>165231</v>
      </c>
      <c r="B539" s="12" t="s">
        <v>1032</v>
      </c>
      <c r="C539" s="12" t="s">
        <v>22</v>
      </c>
      <c r="D539" s="13"/>
      <c r="E539" s="14" t="s">
        <v>1033</v>
      </c>
      <c r="F539" s="15" t="s">
        <v>24</v>
      </c>
      <c r="G539" s="16"/>
      <c r="H539" s="36">
        <v>179.9</v>
      </c>
      <c r="I539" s="36">
        <f>ROUND(H539-(H539*I2/100),2)</f>
        <v>179.9</v>
      </c>
      <c r="J539" s="17">
        <v>34</v>
      </c>
      <c r="K539" s="18"/>
      <c r="L539" s="18"/>
      <c r="M539" s="20"/>
      <c r="N539" s="37">
        <f t="shared" si="20"/>
        <v>0</v>
      </c>
      <c r="O539" s="21">
        <v>0.158</v>
      </c>
      <c r="P539" s="22">
        <v>1.2E-4</v>
      </c>
    </row>
    <row r="540" spans="1:16" s="1" customFormat="1" ht="119.1" customHeight="1" outlineLevel="4" x14ac:dyDescent="0.2">
      <c r="A540" s="11">
        <v>165232</v>
      </c>
      <c r="B540" s="12" t="s">
        <v>1034</v>
      </c>
      <c r="C540" s="12" t="s">
        <v>22</v>
      </c>
      <c r="D540" s="13"/>
      <c r="E540" s="14" t="s">
        <v>1035</v>
      </c>
      <c r="F540" s="15" t="s">
        <v>24</v>
      </c>
      <c r="G540" s="16"/>
      <c r="H540" s="36">
        <v>196.2</v>
      </c>
      <c r="I540" s="36">
        <f>ROUND(H540-(H540*I2/100),2)</f>
        <v>196.2</v>
      </c>
      <c r="J540" s="17">
        <v>17</v>
      </c>
      <c r="K540" s="18"/>
      <c r="L540" s="18"/>
      <c r="M540" s="20"/>
      <c r="N540" s="37">
        <f t="shared" si="20"/>
        <v>0</v>
      </c>
      <c r="O540" s="21">
        <v>0.183</v>
      </c>
      <c r="P540" s="22">
        <v>1.3999999999999999E-4</v>
      </c>
    </row>
    <row r="541" spans="1:16" s="1" customFormat="1" ht="119.1" customHeight="1" outlineLevel="4" x14ac:dyDescent="0.2">
      <c r="A541" s="11">
        <v>165233</v>
      </c>
      <c r="B541" s="12" t="s">
        <v>1036</v>
      </c>
      <c r="C541" s="12" t="s">
        <v>22</v>
      </c>
      <c r="D541" s="13"/>
      <c r="E541" s="14" t="s">
        <v>1037</v>
      </c>
      <c r="F541" s="15" t="s">
        <v>24</v>
      </c>
      <c r="G541" s="16"/>
      <c r="H541" s="36">
        <v>222.8</v>
      </c>
      <c r="I541" s="36">
        <f>ROUND(H541-(H541*I2/100),2)</f>
        <v>222.8</v>
      </c>
      <c r="J541" s="17">
        <v>30</v>
      </c>
      <c r="K541" s="18"/>
      <c r="L541" s="18"/>
      <c r="M541" s="20"/>
      <c r="N541" s="37">
        <f t="shared" si="20"/>
        <v>0</v>
      </c>
      <c r="O541" s="21">
        <v>0.217</v>
      </c>
      <c r="P541" s="22">
        <v>1.6000000000000001E-4</v>
      </c>
    </row>
    <row r="542" spans="1:16" s="1" customFormat="1" ht="119.1" customHeight="1" outlineLevel="4" x14ac:dyDescent="0.2">
      <c r="A542" s="11">
        <v>165234</v>
      </c>
      <c r="B542" s="12" t="s">
        <v>1038</v>
      </c>
      <c r="C542" s="12" t="s">
        <v>22</v>
      </c>
      <c r="D542" s="13"/>
      <c r="E542" s="14" t="s">
        <v>1039</v>
      </c>
      <c r="F542" s="15" t="s">
        <v>24</v>
      </c>
      <c r="G542" s="16"/>
      <c r="H542" s="36">
        <v>238.1</v>
      </c>
      <c r="I542" s="36">
        <f>ROUND(H542-(H542*I2/100),2)</f>
        <v>238.1</v>
      </c>
      <c r="J542" s="17">
        <v>86</v>
      </c>
      <c r="K542" s="18"/>
      <c r="L542" s="18"/>
      <c r="M542" s="20"/>
      <c r="N542" s="37">
        <f t="shared" si="20"/>
        <v>0</v>
      </c>
      <c r="O542" s="21">
        <v>0.224</v>
      </c>
      <c r="P542" s="22">
        <v>4.1800000000000002E-4</v>
      </c>
    </row>
    <row r="543" spans="1:16" s="1" customFormat="1" ht="119.1" customHeight="1" outlineLevel="4" x14ac:dyDescent="0.2">
      <c r="A543" s="11">
        <v>165235</v>
      </c>
      <c r="B543" s="12" t="s">
        <v>1040</v>
      </c>
      <c r="C543" s="12" t="s">
        <v>22</v>
      </c>
      <c r="D543" s="13"/>
      <c r="E543" s="14" t="s">
        <v>1041</v>
      </c>
      <c r="F543" s="15" t="s">
        <v>24</v>
      </c>
      <c r="G543" s="16"/>
      <c r="H543" s="36">
        <v>256.89999999999998</v>
      </c>
      <c r="I543" s="36">
        <f>ROUND(H543-(H543*I2/100),2)</f>
        <v>256.89999999999998</v>
      </c>
      <c r="J543" s="17">
        <v>30</v>
      </c>
      <c r="K543" s="18"/>
      <c r="L543" s="18"/>
      <c r="M543" s="20"/>
      <c r="N543" s="37">
        <f t="shared" si="20"/>
        <v>0</v>
      </c>
      <c r="O543" s="21">
        <v>0.26700000000000002</v>
      </c>
      <c r="P543" s="22">
        <v>6.9610000000000002E-3</v>
      </c>
    </row>
    <row r="544" spans="1:16" s="1" customFormat="1" ht="119.1" customHeight="1" outlineLevel="4" x14ac:dyDescent="0.2">
      <c r="A544" s="11">
        <v>192271</v>
      </c>
      <c r="B544" s="12" t="s">
        <v>1042</v>
      </c>
      <c r="C544" s="12" t="s">
        <v>22</v>
      </c>
      <c r="D544" s="13"/>
      <c r="E544" s="14" t="s">
        <v>1043</v>
      </c>
      <c r="F544" s="15" t="s">
        <v>24</v>
      </c>
      <c r="G544" s="16"/>
      <c r="H544" s="36">
        <v>325.89999999999998</v>
      </c>
      <c r="I544" s="36">
        <f>ROUND(H544-(H544*I2/100),2)</f>
        <v>325.89999999999998</v>
      </c>
      <c r="J544" s="17">
        <v>48</v>
      </c>
      <c r="K544" s="18"/>
      <c r="L544" s="18"/>
      <c r="M544" s="20"/>
      <c r="N544" s="37">
        <f t="shared" si="20"/>
        <v>0</v>
      </c>
      <c r="O544" s="21">
        <v>0.26700000000000002</v>
      </c>
      <c r="P544" s="22">
        <v>1.02E-4</v>
      </c>
    </row>
    <row r="545" spans="1:16" s="1" customFormat="1" ht="119.1" customHeight="1" outlineLevel="4" x14ac:dyDescent="0.2">
      <c r="A545" s="11">
        <v>178144</v>
      </c>
      <c r="B545" s="12" t="s">
        <v>1044</v>
      </c>
      <c r="C545" s="12" t="s">
        <v>22</v>
      </c>
      <c r="D545" s="13"/>
      <c r="E545" s="14" t="s">
        <v>1045</v>
      </c>
      <c r="F545" s="15" t="s">
        <v>24</v>
      </c>
      <c r="G545" s="16"/>
      <c r="H545" s="36">
        <v>345.8</v>
      </c>
      <c r="I545" s="36">
        <f>ROUND(H545-(H545*I2/100),2)</f>
        <v>345.8</v>
      </c>
      <c r="J545" s="17">
        <v>1</v>
      </c>
      <c r="K545" s="18"/>
      <c r="L545" s="18"/>
      <c r="M545" s="20"/>
      <c r="N545" s="37">
        <f t="shared" si="20"/>
        <v>0</v>
      </c>
      <c r="O545" s="21">
        <v>0.33300000000000002</v>
      </c>
      <c r="P545" s="22">
        <v>3.0299999999999999E-4</v>
      </c>
    </row>
    <row r="546" spans="1:16" s="1" customFormat="1" ht="119.1" customHeight="1" outlineLevel="4" x14ac:dyDescent="0.2">
      <c r="A546" s="11">
        <v>195213</v>
      </c>
      <c r="B546" s="12" t="s">
        <v>1046</v>
      </c>
      <c r="C546" s="12" t="s">
        <v>22</v>
      </c>
      <c r="D546" s="13"/>
      <c r="E546" s="14" t="s">
        <v>1047</v>
      </c>
      <c r="F546" s="15" t="s">
        <v>24</v>
      </c>
      <c r="G546" s="16"/>
      <c r="H546" s="36">
        <v>445</v>
      </c>
      <c r="I546" s="36">
        <f>ROUND(H546-(H546*I2/100),2)</f>
        <v>445</v>
      </c>
      <c r="J546" s="17">
        <v>57</v>
      </c>
      <c r="K546" s="18"/>
      <c r="L546" s="18"/>
      <c r="M546" s="20"/>
      <c r="N546" s="37">
        <f t="shared" si="20"/>
        <v>0</v>
      </c>
      <c r="O546" s="21">
        <v>0.315</v>
      </c>
      <c r="P546" s="22">
        <v>2.5539999999999998E-3</v>
      </c>
    </row>
    <row r="547" spans="1:16" s="1" customFormat="1" ht="119.1" customHeight="1" outlineLevel="4" x14ac:dyDescent="0.2">
      <c r="A547" s="11">
        <v>195214</v>
      </c>
      <c r="B547" s="12" t="s">
        <v>1048</v>
      </c>
      <c r="C547" s="12" t="s">
        <v>22</v>
      </c>
      <c r="D547" s="13"/>
      <c r="E547" s="14" t="s">
        <v>1049</v>
      </c>
      <c r="F547" s="15" t="s">
        <v>24</v>
      </c>
      <c r="G547" s="16"/>
      <c r="H547" s="36">
        <v>454.8</v>
      </c>
      <c r="I547" s="36">
        <f>ROUND(H547-(H547*I2/100),2)</f>
        <v>454.8</v>
      </c>
      <c r="J547" s="17">
        <v>17</v>
      </c>
      <c r="K547" s="18"/>
      <c r="L547" s="18"/>
      <c r="M547" s="20"/>
      <c r="N547" s="37">
        <f t="shared" si="20"/>
        <v>0</v>
      </c>
      <c r="O547" s="21">
        <v>0.45800000000000002</v>
      </c>
      <c r="P547" s="22">
        <v>4.4700000000000002E-4</v>
      </c>
    </row>
    <row r="548" spans="1:16" s="1" customFormat="1" ht="119.1" customHeight="1" outlineLevel="4" x14ac:dyDescent="0.2">
      <c r="A548" s="11">
        <v>165236</v>
      </c>
      <c r="B548" s="12" t="s">
        <v>1050</v>
      </c>
      <c r="C548" s="12" t="s">
        <v>22</v>
      </c>
      <c r="D548" s="13"/>
      <c r="E548" s="14" t="s">
        <v>1051</v>
      </c>
      <c r="F548" s="15" t="s">
        <v>24</v>
      </c>
      <c r="G548" s="16"/>
      <c r="H548" s="36">
        <v>481</v>
      </c>
      <c r="I548" s="36">
        <f>ROUND(H548-(H548*I2/100),2)</f>
        <v>481</v>
      </c>
      <c r="J548" s="17">
        <v>40</v>
      </c>
      <c r="K548" s="18"/>
      <c r="L548" s="18"/>
      <c r="M548" s="20"/>
      <c r="N548" s="37">
        <f t="shared" si="20"/>
        <v>0</v>
      </c>
      <c r="O548" s="21">
        <v>0.47499999999999998</v>
      </c>
      <c r="P548" s="22">
        <v>4.6299999999999998E-4</v>
      </c>
    </row>
    <row r="549" spans="1:16" s="1" customFormat="1" ht="119.1" customHeight="1" outlineLevel="4" x14ac:dyDescent="0.2">
      <c r="A549" s="11">
        <v>192272</v>
      </c>
      <c r="B549" s="12" t="s">
        <v>1052</v>
      </c>
      <c r="C549" s="12" t="s">
        <v>22</v>
      </c>
      <c r="D549" s="13"/>
      <c r="E549" s="14" t="s">
        <v>1053</v>
      </c>
      <c r="F549" s="15" t="s">
        <v>24</v>
      </c>
      <c r="G549" s="16"/>
      <c r="H549" s="36">
        <v>471.4</v>
      </c>
      <c r="I549" s="36">
        <f>ROUND(H549-(H549*I2/100),2)</f>
        <v>471.4</v>
      </c>
      <c r="J549" s="17">
        <v>11</v>
      </c>
      <c r="K549" s="18"/>
      <c r="L549" s="18"/>
      <c r="M549" s="20"/>
      <c r="N549" s="37">
        <f t="shared" si="20"/>
        <v>0</v>
      </c>
      <c r="O549" s="21">
        <v>0.6</v>
      </c>
      <c r="P549" s="22">
        <v>5.1400000000000003E-4</v>
      </c>
    </row>
    <row r="550" spans="1:16" s="1" customFormat="1" ht="119.1" customHeight="1" outlineLevel="4" x14ac:dyDescent="0.2">
      <c r="A550" s="11">
        <v>192273</v>
      </c>
      <c r="B550" s="12" t="s">
        <v>1054</v>
      </c>
      <c r="C550" s="12" t="s">
        <v>22</v>
      </c>
      <c r="D550" s="13"/>
      <c r="E550" s="14" t="s">
        <v>1055</v>
      </c>
      <c r="F550" s="15" t="s">
        <v>24</v>
      </c>
      <c r="G550" s="16"/>
      <c r="H550" s="36">
        <v>490</v>
      </c>
      <c r="I550" s="36">
        <f>ROUND(H550-(H550*I2/100),2)</f>
        <v>490</v>
      </c>
      <c r="J550" s="17">
        <v>18</v>
      </c>
      <c r="K550" s="18"/>
      <c r="L550" s="18"/>
      <c r="M550" s="20"/>
      <c r="N550" s="37">
        <f t="shared" si="20"/>
        <v>0</v>
      </c>
      <c r="O550" s="21">
        <v>0.53300000000000003</v>
      </c>
      <c r="P550" s="22">
        <v>4.6299999999999998E-4</v>
      </c>
    </row>
    <row r="551" spans="1:16" s="1" customFormat="1" ht="119.1" customHeight="1" outlineLevel="4" x14ac:dyDescent="0.2">
      <c r="A551" s="11">
        <v>165237</v>
      </c>
      <c r="B551" s="12" t="s">
        <v>1056</v>
      </c>
      <c r="C551" s="12" t="s">
        <v>22</v>
      </c>
      <c r="D551" s="13"/>
      <c r="E551" s="14" t="s">
        <v>1057</v>
      </c>
      <c r="F551" s="15" t="s">
        <v>24</v>
      </c>
      <c r="G551" s="16"/>
      <c r="H551" s="36">
        <v>601.9</v>
      </c>
      <c r="I551" s="36">
        <f>ROUND(H551-(H551*I2/100),2)</f>
        <v>601.9</v>
      </c>
      <c r="J551" s="17">
        <v>17</v>
      </c>
      <c r="K551" s="18"/>
      <c r="L551" s="18"/>
      <c r="M551" s="20"/>
      <c r="N551" s="37">
        <f t="shared" si="20"/>
        <v>0</v>
      </c>
      <c r="O551" s="21">
        <v>0.6</v>
      </c>
      <c r="P551" s="22">
        <v>6.5200000000000002E-4</v>
      </c>
    </row>
    <row r="552" spans="1:16" s="1" customFormat="1" ht="119.1" customHeight="1" outlineLevel="4" x14ac:dyDescent="0.2">
      <c r="A552" s="11">
        <v>165238</v>
      </c>
      <c r="B552" s="12" t="s">
        <v>1058</v>
      </c>
      <c r="C552" s="12" t="s">
        <v>22</v>
      </c>
      <c r="D552" s="13"/>
      <c r="E552" s="14" t="s">
        <v>1059</v>
      </c>
      <c r="F552" s="15" t="s">
        <v>24</v>
      </c>
      <c r="G552" s="16"/>
      <c r="H552" s="36">
        <v>676.3</v>
      </c>
      <c r="I552" s="36">
        <f>ROUND(H552-(H552*I2/100),2)</f>
        <v>676.3</v>
      </c>
      <c r="J552" s="17">
        <v>34</v>
      </c>
      <c r="K552" s="18"/>
      <c r="L552" s="18"/>
      <c r="M552" s="20"/>
      <c r="N552" s="37">
        <f t="shared" si="20"/>
        <v>0</v>
      </c>
      <c r="O552" s="21">
        <v>0.7</v>
      </c>
      <c r="P552" s="22">
        <v>7.2099999999999996E-4</v>
      </c>
    </row>
    <row r="553" spans="1:16" s="1" customFormat="1" ht="119.1" customHeight="1" outlineLevel="4" x14ac:dyDescent="0.2">
      <c r="A553" s="11">
        <v>165240</v>
      </c>
      <c r="B553" s="12" t="s">
        <v>1060</v>
      </c>
      <c r="C553" s="12" t="s">
        <v>22</v>
      </c>
      <c r="D553" s="13"/>
      <c r="E553" s="14" t="s">
        <v>1061</v>
      </c>
      <c r="F553" s="15" t="s">
        <v>24</v>
      </c>
      <c r="G553" s="16"/>
      <c r="H553" s="36">
        <v>178.5</v>
      </c>
      <c r="I553" s="36">
        <f>ROUND(H553-(H553*I2/100),2)</f>
        <v>178.5</v>
      </c>
      <c r="J553" s="17">
        <v>27</v>
      </c>
      <c r="K553" s="18"/>
      <c r="L553" s="18"/>
      <c r="M553" s="20"/>
      <c r="N553" s="37">
        <f t="shared" si="20"/>
        <v>0</v>
      </c>
      <c r="O553" s="21">
        <v>0.04</v>
      </c>
      <c r="P553" s="22">
        <v>1.4E-5</v>
      </c>
    </row>
    <row r="554" spans="1:16" s="1" customFormat="1" ht="119.1" customHeight="1" outlineLevel="4" x14ac:dyDescent="0.2">
      <c r="A554" s="11">
        <v>212555</v>
      </c>
      <c r="B554" s="12" t="s">
        <v>1062</v>
      </c>
      <c r="C554" s="12" t="s">
        <v>22</v>
      </c>
      <c r="D554" s="13"/>
      <c r="E554" s="14" t="s">
        <v>1063</v>
      </c>
      <c r="F554" s="15" t="s">
        <v>24</v>
      </c>
      <c r="G554" s="16"/>
      <c r="H554" s="36">
        <v>188.8</v>
      </c>
      <c r="I554" s="36">
        <f>ROUND(H554-(H554*I2/100),2)</f>
        <v>188.8</v>
      </c>
      <c r="J554" s="17">
        <v>68</v>
      </c>
      <c r="K554" s="18"/>
      <c r="L554" s="18"/>
      <c r="M554" s="20"/>
      <c r="N554" s="37">
        <f t="shared" si="20"/>
        <v>0</v>
      </c>
      <c r="O554" s="21">
        <v>0.2</v>
      </c>
      <c r="P554" s="22">
        <v>5.0000000000000001E-4</v>
      </c>
    </row>
    <row r="555" spans="1:16" s="1" customFormat="1" ht="119.1" customHeight="1" outlineLevel="4" x14ac:dyDescent="0.2">
      <c r="A555" s="11">
        <v>165242</v>
      </c>
      <c r="B555" s="12" t="s">
        <v>1064</v>
      </c>
      <c r="C555" s="12" t="s">
        <v>22</v>
      </c>
      <c r="D555" s="13"/>
      <c r="E555" s="14" t="s">
        <v>1065</v>
      </c>
      <c r="F555" s="15" t="s">
        <v>24</v>
      </c>
      <c r="G555" s="16"/>
      <c r="H555" s="36">
        <v>196.2</v>
      </c>
      <c r="I555" s="36">
        <f>ROUND(H555-(H555*I2/100),2)</f>
        <v>196.2</v>
      </c>
      <c r="J555" s="17">
        <v>250</v>
      </c>
      <c r="K555" s="18"/>
      <c r="L555" s="18"/>
      <c r="M555" s="20"/>
      <c r="N555" s="37">
        <f t="shared" si="20"/>
        <v>0</v>
      </c>
      <c r="O555" s="21">
        <v>6.5000000000000002E-2</v>
      </c>
      <c r="P555" s="22">
        <v>2.4000000000000001E-5</v>
      </c>
    </row>
    <row r="556" spans="1:16" s="1" customFormat="1" ht="119.1" customHeight="1" outlineLevel="4" x14ac:dyDescent="0.2">
      <c r="A556" s="11">
        <v>165243</v>
      </c>
      <c r="B556" s="12" t="s">
        <v>1066</v>
      </c>
      <c r="C556" s="12" t="s">
        <v>22</v>
      </c>
      <c r="D556" s="13"/>
      <c r="E556" s="14" t="s">
        <v>1067</v>
      </c>
      <c r="F556" s="15" t="s">
        <v>24</v>
      </c>
      <c r="G556" s="16"/>
      <c r="H556" s="36">
        <v>208.2</v>
      </c>
      <c r="I556" s="36">
        <f>ROUND(H556-(H556*I2/100),2)</f>
        <v>208.2</v>
      </c>
      <c r="J556" s="17">
        <v>13</v>
      </c>
      <c r="K556" s="18"/>
      <c r="L556" s="18"/>
      <c r="M556" s="20"/>
      <c r="N556" s="37">
        <f t="shared" si="20"/>
        <v>0</v>
      </c>
      <c r="O556" s="21">
        <v>7.8E-2</v>
      </c>
      <c r="P556" s="22">
        <v>2.6999999999999999E-5</v>
      </c>
    </row>
    <row r="557" spans="1:16" s="1" customFormat="1" ht="119.1" customHeight="1" outlineLevel="4" x14ac:dyDescent="0.2">
      <c r="A557" s="11">
        <v>165244</v>
      </c>
      <c r="B557" s="12" t="s">
        <v>1068</v>
      </c>
      <c r="C557" s="12" t="s">
        <v>22</v>
      </c>
      <c r="D557" s="13"/>
      <c r="E557" s="14" t="s">
        <v>1069</v>
      </c>
      <c r="F557" s="15" t="s">
        <v>24</v>
      </c>
      <c r="G557" s="16"/>
      <c r="H557" s="36">
        <v>231.2</v>
      </c>
      <c r="I557" s="36">
        <f>ROUND(H557-(H557*I2/100),2)</f>
        <v>231.2</v>
      </c>
      <c r="J557" s="17">
        <v>135</v>
      </c>
      <c r="K557" s="18"/>
      <c r="L557" s="18"/>
      <c r="M557" s="20"/>
      <c r="N557" s="37">
        <f t="shared" si="20"/>
        <v>0</v>
      </c>
      <c r="O557" s="21">
        <v>9.7000000000000003E-2</v>
      </c>
      <c r="P557" s="22">
        <v>3.4E-5</v>
      </c>
    </row>
    <row r="558" spans="1:16" s="1" customFormat="1" ht="119.1" customHeight="1" outlineLevel="4" x14ac:dyDescent="0.2">
      <c r="A558" s="11">
        <v>165245</v>
      </c>
      <c r="B558" s="12" t="s">
        <v>1070</v>
      </c>
      <c r="C558" s="12" t="s">
        <v>22</v>
      </c>
      <c r="D558" s="13"/>
      <c r="E558" s="14" t="s">
        <v>1071</v>
      </c>
      <c r="F558" s="15" t="s">
        <v>24</v>
      </c>
      <c r="G558" s="16"/>
      <c r="H558" s="36">
        <v>229.9</v>
      </c>
      <c r="I558" s="36">
        <f>ROUND(H558-(H558*I2/100),2)</f>
        <v>229.9</v>
      </c>
      <c r="J558" s="17">
        <v>25</v>
      </c>
      <c r="K558" s="18"/>
      <c r="L558" s="18"/>
      <c r="M558" s="20"/>
      <c r="N558" s="37">
        <f t="shared" si="20"/>
        <v>0</v>
      </c>
      <c r="O558" s="21">
        <v>0.105</v>
      </c>
      <c r="P558" s="22">
        <v>4.3000000000000002E-5</v>
      </c>
    </row>
    <row r="559" spans="1:16" s="1" customFormat="1" ht="119.1" customHeight="1" outlineLevel="4" x14ac:dyDescent="0.2">
      <c r="A559" s="11">
        <v>165246</v>
      </c>
      <c r="B559" s="12" t="s">
        <v>1072</v>
      </c>
      <c r="C559" s="12" t="s">
        <v>22</v>
      </c>
      <c r="D559" s="13"/>
      <c r="E559" s="14" t="s">
        <v>1073</v>
      </c>
      <c r="F559" s="15" t="s">
        <v>24</v>
      </c>
      <c r="G559" s="16"/>
      <c r="H559" s="36">
        <v>258.3</v>
      </c>
      <c r="I559" s="36">
        <f>ROUND(H559-(H559*I2/100),2)</f>
        <v>258.3</v>
      </c>
      <c r="J559" s="17">
        <v>119</v>
      </c>
      <c r="K559" s="18"/>
      <c r="L559" s="18"/>
      <c r="M559" s="20"/>
      <c r="N559" s="37">
        <f t="shared" si="20"/>
        <v>0</v>
      </c>
      <c r="O559" s="21">
        <v>0.125</v>
      </c>
      <c r="P559" s="22">
        <v>5.5000000000000002E-5</v>
      </c>
    </row>
    <row r="560" spans="1:16" s="1" customFormat="1" ht="119.1" customHeight="1" outlineLevel="4" x14ac:dyDescent="0.2">
      <c r="A560" s="11">
        <v>178145</v>
      </c>
      <c r="B560" s="12" t="s">
        <v>1074</v>
      </c>
      <c r="C560" s="12" t="s">
        <v>22</v>
      </c>
      <c r="D560" s="13"/>
      <c r="E560" s="14" t="s">
        <v>1075</v>
      </c>
      <c r="F560" s="15" t="s">
        <v>24</v>
      </c>
      <c r="G560" s="16"/>
      <c r="H560" s="36">
        <v>256.89999999999998</v>
      </c>
      <c r="I560" s="36">
        <f>ROUND(H560-(H560*I2/100),2)</f>
        <v>256.89999999999998</v>
      </c>
      <c r="J560" s="17">
        <v>17</v>
      </c>
      <c r="K560" s="18"/>
      <c r="L560" s="18"/>
      <c r="M560" s="20"/>
      <c r="N560" s="37">
        <f t="shared" ref="N560:N591" si="21">I560*M560</f>
        <v>0</v>
      </c>
      <c r="O560" s="21">
        <v>0.14699999999999999</v>
      </c>
      <c r="P560" s="22">
        <v>6.8999999999999997E-5</v>
      </c>
    </row>
    <row r="561" spans="1:16" s="1" customFormat="1" ht="119.1" customHeight="1" outlineLevel="4" x14ac:dyDescent="0.2">
      <c r="A561" s="11">
        <v>165247</v>
      </c>
      <c r="B561" s="12" t="s">
        <v>1076</v>
      </c>
      <c r="C561" s="12" t="s">
        <v>22</v>
      </c>
      <c r="D561" s="13"/>
      <c r="E561" s="14" t="s">
        <v>1077</v>
      </c>
      <c r="F561" s="15" t="s">
        <v>24</v>
      </c>
      <c r="G561" s="16"/>
      <c r="H561" s="36">
        <v>267</v>
      </c>
      <c r="I561" s="36">
        <f>ROUND(H561-(H561*I2/100),2)</f>
        <v>267</v>
      </c>
      <c r="J561" s="17">
        <v>34</v>
      </c>
      <c r="K561" s="18"/>
      <c r="L561" s="18"/>
      <c r="M561" s="20"/>
      <c r="N561" s="37">
        <f t="shared" si="21"/>
        <v>0</v>
      </c>
      <c r="O561" s="21">
        <v>0.17</v>
      </c>
      <c r="P561" s="22">
        <v>8.3999999999999995E-5</v>
      </c>
    </row>
    <row r="562" spans="1:16" s="1" customFormat="1" ht="119.1" customHeight="1" outlineLevel="4" x14ac:dyDescent="0.2">
      <c r="A562" s="11">
        <v>165248</v>
      </c>
      <c r="B562" s="12" t="s">
        <v>1078</v>
      </c>
      <c r="C562" s="12" t="s">
        <v>22</v>
      </c>
      <c r="D562" s="13"/>
      <c r="E562" s="14" t="s">
        <v>1079</v>
      </c>
      <c r="F562" s="15" t="s">
        <v>24</v>
      </c>
      <c r="G562" s="16"/>
      <c r="H562" s="36">
        <v>298.89999999999998</v>
      </c>
      <c r="I562" s="36">
        <f>ROUND(H562-(H562*I2/100),2)</f>
        <v>298.89999999999998</v>
      </c>
      <c r="J562" s="17">
        <v>42</v>
      </c>
      <c r="K562" s="18"/>
      <c r="L562" s="18"/>
      <c r="M562" s="20"/>
      <c r="N562" s="37">
        <f t="shared" si="21"/>
        <v>0</v>
      </c>
      <c r="O562" s="21">
        <v>0.19</v>
      </c>
      <c r="P562" s="22">
        <v>1.02E-4</v>
      </c>
    </row>
    <row r="563" spans="1:16" s="1" customFormat="1" ht="119.1" customHeight="1" outlineLevel="4" x14ac:dyDescent="0.2">
      <c r="A563" s="11">
        <v>165249</v>
      </c>
      <c r="B563" s="12" t="s">
        <v>1080</v>
      </c>
      <c r="C563" s="12" t="s">
        <v>22</v>
      </c>
      <c r="D563" s="13"/>
      <c r="E563" s="14" t="s">
        <v>1081</v>
      </c>
      <c r="F563" s="15" t="s">
        <v>24</v>
      </c>
      <c r="G563" s="16"/>
      <c r="H563" s="36">
        <v>338.1</v>
      </c>
      <c r="I563" s="36">
        <f>ROUND(H563-(H563*I2/100),2)</f>
        <v>338.1</v>
      </c>
      <c r="J563" s="17">
        <v>23</v>
      </c>
      <c r="K563" s="18"/>
      <c r="L563" s="18"/>
      <c r="M563" s="20"/>
      <c r="N563" s="37">
        <f t="shared" si="21"/>
        <v>0</v>
      </c>
      <c r="O563" s="21">
        <v>0.26</v>
      </c>
      <c r="P563" s="22">
        <v>1.34E-4</v>
      </c>
    </row>
    <row r="564" spans="1:16" s="1" customFormat="1" ht="119.1" customHeight="1" outlineLevel="4" x14ac:dyDescent="0.2">
      <c r="A564" s="11">
        <v>165250</v>
      </c>
      <c r="B564" s="12" t="s">
        <v>1082</v>
      </c>
      <c r="C564" s="12" t="s">
        <v>22</v>
      </c>
      <c r="D564" s="13"/>
      <c r="E564" s="14" t="s">
        <v>1083</v>
      </c>
      <c r="F564" s="15" t="s">
        <v>24</v>
      </c>
      <c r="G564" s="16"/>
      <c r="H564" s="36">
        <v>555.9</v>
      </c>
      <c r="I564" s="36">
        <f>ROUND(H564-(H564*I2/100),2)</f>
        <v>555.9</v>
      </c>
      <c r="J564" s="17">
        <v>23</v>
      </c>
      <c r="K564" s="18"/>
      <c r="L564" s="18"/>
      <c r="M564" s="20"/>
      <c r="N564" s="37">
        <f t="shared" si="21"/>
        <v>0</v>
      </c>
      <c r="O564" s="21">
        <v>0.36</v>
      </c>
      <c r="P564" s="22">
        <v>1.8900000000000001E-4</v>
      </c>
    </row>
    <row r="565" spans="1:16" s="1" customFormat="1" ht="119.1" customHeight="1" outlineLevel="4" x14ac:dyDescent="0.2">
      <c r="A565" s="11">
        <v>169834</v>
      </c>
      <c r="B565" s="12" t="s">
        <v>1084</v>
      </c>
      <c r="C565" s="12" t="s">
        <v>22</v>
      </c>
      <c r="D565" s="13"/>
      <c r="E565" s="14" t="s">
        <v>1085</v>
      </c>
      <c r="F565" s="15" t="s">
        <v>24</v>
      </c>
      <c r="G565" s="16"/>
      <c r="H565" s="36">
        <v>593.70000000000005</v>
      </c>
      <c r="I565" s="36">
        <f>ROUND(H565-(H565*I2/100),2)</f>
        <v>593.70000000000005</v>
      </c>
      <c r="J565" s="17">
        <v>48</v>
      </c>
      <c r="K565" s="18"/>
      <c r="L565" s="18"/>
      <c r="M565" s="20"/>
      <c r="N565" s="37">
        <f t="shared" si="21"/>
        <v>0</v>
      </c>
      <c r="O565" s="21">
        <v>0.5</v>
      </c>
      <c r="P565" s="22">
        <v>2.5399999999999999E-4</v>
      </c>
    </row>
    <row r="566" spans="1:16" s="1" customFormat="1" ht="119.1" customHeight="1" outlineLevel="4" x14ac:dyDescent="0.2">
      <c r="A566" s="11">
        <v>165251</v>
      </c>
      <c r="B566" s="12" t="s">
        <v>1086</v>
      </c>
      <c r="C566" s="12" t="s">
        <v>22</v>
      </c>
      <c r="D566" s="13"/>
      <c r="E566" s="14" t="s">
        <v>1087</v>
      </c>
      <c r="F566" s="15" t="s">
        <v>24</v>
      </c>
      <c r="G566" s="16"/>
      <c r="H566" s="36">
        <v>878.2</v>
      </c>
      <c r="I566" s="36">
        <f>ROUND(H566-(H566*I2/100),2)</f>
        <v>878.2</v>
      </c>
      <c r="J566" s="17">
        <v>29</v>
      </c>
      <c r="K566" s="18"/>
      <c r="L566" s="18"/>
      <c r="M566" s="20"/>
      <c r="N566" s="37">
        <f t="shared" si="21"/>
        <v>0</v>
      </c>
      <c r="O566" s="21">
        <v>0.65</v>
      </c>
      <c r="P566" s="22">
        <v>3.3100000000000002E-4</v>
      </c>
    </row>
    <row r="567" spans="1:16" s="1" customFormat="1" ht="119.1" customHeight="1" outlineLevel="4" x14ac:dyDescent="0.2">
      <c r="A567" s="11">
        <v>188446</v>
      </c>
      <c r="B567" s="12" t="s">
        <v>1088</v>
      </c>
      <c r="C567" s="12" t="s">
        <v>22</v>
      </c>
      <c r="D567" s="13"/>
      <c r="E567" s="14" t="s">
        <v>1089</v>
      </c>
      <c r="F567" s="15" t="s">
        <v>24</v>
      </c>
      <c r="G567" s="16"/>
      <c r="H567" s="36">
        <v>232.6</v>
      </c>
      <c r="I567" s="36">
        <f>ROUND(H567-(H567*I2/100),2)</f>
        <v>232.6</v>
      </c>
      <c r="J567" s="17">
        <v>21</v>
      </c>
      <c r="K567" s="18"/>
      <c r="L567" s="18"/>
      <c r="M567" s="20"/>
      <c r="N567" s="37">
        <f t="shared" si="21"/>
        <v>0</v>
      </c>
      <c r="O567" s="21">
        <v>0.13300000000000001</v>
      </c>
      <c r="P567" s="22">
        <v>9.3999999999999994E-5</v>
      </c>
    </row>
    <row r="568" spans="1:16" s="1" customFormat="1" ht="119.1" customHeight="1" outlineLevel="4" x14ac:dyDescent="0.2">
      <c r="A568" s="11">
        <v>190220</v>
      </c>
      <c r="B568" s="12" t="s">
        <v>1090</v>
      </c>
      <c r="C568" s="12" t="s">
        <v>22</v>
      </c>
      <c r="D568" s="13"/>
      <c r="E568" s="14" t="s">
        <v>1091</v>
      </c>
      <c r="F568" s="15" t="s">
        <v>24</v>
      </c>
      <c r="G568" s="16"/>
      <c r="H568" s="36">
        <v>503.1</v>
      </c>
      <c r="I568" s="36">
        <f>ROUND(H568-(H568*I2/100),2)</f>
        <v>503.1</v>
      </c>
      <c r="J568" s="17">
        <v>8</v>
      </c>
      <c r="K568" s="18"/>
      <c r="L568" s="18"/>
      <c r="M568" s="20"/>
      <c r="N568" s="37">
        <f t="shared" si="21"/>
        <v>0</v>
      </c>
      <c r="O568" s="21">
        <v>0.214</v>
      </c>
      <c r="P568" s="22">
        <v>1.8599999999999999E-4</v>
      </c>
    </row>
    <row r="569" spans="1:16" s="1" customFormat="1" ht="119.1" customHeight="1" outlineLevel="4" x14ac:dyDescent="0.2">
      <c r="A569" s="11">
        <v>205884</v>
      </c>
      <c r="B569" s="12" t="s">
        <v>1092</v>
      </c>
      <c r="C569" s="12" t="s">
        <v>50</v>
      </c>
      <c r="D569" s="13"/>
      <c r="E569" s="14" t="s">
        <v>1093</v>
      </c>
      <c r="F569" s="15" t="s">
        <v>24</v>
      </c>
      <c r="G569" s="16"/>
      <c r="H569" s="36">
        <v>228.9</v>
      </c>
      <c r="I569" s="36">
        <f>ROUND(H569-(H569*I2/100),2)</f>
        <v>228.9</v>
      </c>
      <c r="J569" s="17">
        <v>136</v>
      </c>
      <c r="K569" s="18"/>
      <c r="L569" s="18"/>
      <c r="M569" s="20"/>
      <c r="N569" s="37">
        <f t="shared" si="21"/>
        <v>0</v>
      </c>
      <c r="O569" s="21">
        <v>0.25</v>
      </c>
      <c r="P569" s="22">
        <v>1.56E-4</v>
      </c>
    </row>
    <row r="570" spans="1:16" s="1" customFormat="1" ht="119.1" customHeight="1" outlineLevel="4" x14ac:dyDescent="0.2">
      <c r="A570" s="11">
        <v>169067</v>
      </c>
      <c r="B570" s="12" t="s">
        <v>1094</v>
      </c>
      <c r="C570" s="12" t="s">
        <v>22</v>
      </c>
      <c r="D570" s="13"/>
      <c r="E570" s="14" t="s">
        <v>1095</v>
      </c>
      <c r="F570" s="15" t="s">
        <v>24</v>
      </c>
      <c r="G570" s="16"/>
      <c r="H570" s="36">
        <v>331.4</v>
      </c>
      <c r="I570" s="36">
        <f>ROUND(H570-(H570*I2/100),2)</f>
        <v>331.4</v>
      </c>
      <c r="J570" s="17">
        <v>33</v>
      </c>
      <c r="K570" s="18"/>
      <c r="L570" s="18"/>
      <c r="M570" s="20"/>
      <c r="N570" s="37">
        <f t="shared" si="21"/>
        <v>0</v>
      </c>
      <c r="O570" s="21">
        <v>0.253</v>
      </c>
      <c r="P570" s="22">
        <v>1.6899999999999999E-4</v>
      </c>
    </row>
    <row r="571" spans="1:16" s="1" customFormat="1" ht="119.1" customHeight="1" outlineLevel="4" x14ac:dyDescent="0.2">
      <c r="A571" s="11">
        <v>205885</v>
      </c>
      <c r="B571" s="12" t="s">
        <v>1096</v>
      </c>
      <c r="C571" s="12" t="s">
        <v>50</v>
      </c>
      <c r="D571" s="13"/>
      <c r="E571" s="14" t="s">
        <v>1097</v>
      </c>
      <c r="F571" s="15" t="s">
        <v>24</v>
      </c>
      <c r="G571" s="16"/>
      <c r="H571" s="36">
        <v>342.6</v>
      </c>
      <c r="I571" s="36">
        <f>ROUND(H571-(H571*I2/100),2)</f>
        <v>342.6</v>
      </c>
      <c r="J571" s="17">
        <v>23</v>
      </c>
      <c r="K571" s="18"/>
      <c r="L571" s="18"/>
      <c r="M571" s="20"/>
      <c r="N571" s="37">
        <f t="shared" si="21"/>
        <v>0</v>
      </c>
      <c r="O571" s="21">
        <v>0.35</v>
      </c>
      <c r="P571" s="22">
        <v>2.63E-4</v>
      </c>
    </row>
    <row r="572" spans="1:16" s="1" customFormat="1" ht="119.1" customHeight="1" outlineLevel="4" x14ac:dyDescent="0.2">
      <c r="A572" s="11">
        <v>169069</v>
      </c>
      <c r="B572" s="12" t="s">
        <v>1098</v>
      </c>
      <c r="C572" s="12" t="s">
        <v>22</v>
      </c>
      <c r="D572" s="13"/>
      <c r="E572" s="14" t="s">
        <v>1099</v>
      </c>
      <c r="F572" s="15" t="s">
        <v>24</v>
      </c>
      <c r="G572" s="16"/>
      <c r="H572" s="36">
        <v>481.4</v>
      </c>
      <c r="I572" s="36">
        <f>ROUND(H572-(H572*I2/100),2)</f>
        <v>481.4</v>
      </c>
      <c r="J572" s="17">
        <v>26</v>
      </c>
      <c r="K572" s="18"/>
      <c r="L572" s="18"/>
      <c r="M572" s="20"/>
      <c r="N572" s="37">
        <f t="shared" si="21"/>
        <v>0</v>
      </c>
      <c r="O572" s="21">
        <v>0.42499999999999999</v>
      </c>
      <c r="P572" s="22">
        <v>2.7999999999999998E-4</v>
      </c>
    </row>
    <row r="573" spans="1:16" s="1" customFormat="1" ht="119.1" customHeight="1" outlineLevel="4" x14ac:dyDescent="0.2">
      <c r="A573" s="11">
        <v>216886</v>
      </c>
      <c r="B573" s="12" t="s">
        <v>1100</v>
      </c>
      <c r="C573" s="12" t="s">
        <v>50</v>
      </c>
      <c r="D573" s="13"/>
      <c r="E573" s="14" t="s">
        <v>1101</v>
      </c>
      <c r="F573" s="15" t="s">
        <v>24</v>
      </c>
      <c r="G573" s="16"/>
      <c r="H573" s="36">
        <v>1048.3</v>
      </c>
      <c r="I573" s="36">
        <f>ROUND(H573-(H573*I2/100),2)</f>
        <v>1048.3</v>
      </c>
      <c r="J573" s="17">
        <v>11</v>
      </c>
      <c r="K573" s="18"/>
      <c r="L573" s="18"/>
      <c r="M573" s="20"/>
      <c r="N573" s="37">
        <f t="shared" si="21"/>
        <v>0</v>
      </c>
      <c r="O573" s="21">
        <v>1.2</v>
      </c>
      <c r="P573" s="22">
        <v>8.6300000000000005E-4</v>
      </c>
    </row>
    <row r="574" spans="1:16" s="1" customFormat="1" ht="119.1" customHeight="1" outlineLevel="4" x14ac:dyDescent="0.2">
      <c r="A574" s="11">
        <v>186145</v>
      </c>
      <c r="B574" s="12" t="s">
        <v>1102</v>
      </c>
      <c r="C574" s="12" t="s">
        <v>22</v>
      </c>
      <c r="D574" s="13"/>
      <c r="E574" s="14" t="s">
        <v>1103</v>
      </c>
      <c r="F574" s="15" t="s">
        <v>24</v>
      </c>
      <c r="G574" s="16"/>
      <c r="H574" s="36">
        <v>1283.5999999999999</v>
      </c>
      <c r="I574" s="36">
        <f>ROUND(H574-(H574*I2/100),2)</f>
        <v>1283.5999999999999</v>
      </c>
      <c r="J574" s="17">
        <v>4</v>
      </c>
      <c r="K574" s="18"/>
      <c r="L574" s="18"/>
      <c r="M574" s="20"/>
      <c r="N574" s="37">
        <f t="shared" si="21"/>
        <v>0</v>
      </c>
      <c r="O574" s="21">
        <v>1.25</v>
      </c>
      <c r="P574" s="22">
        <v>7.3899999999999997E-4</v>
      </c>
    </row>
    <row r="575" spans="1:16" s="1" customFormat="1" ht="119.1" customHeight="1" outlineLevel="4" x14ac:dyDescent="0.2">
      <c r="A575" s="11">
        <v>216887</v>
      </c>
      <c r="B575" s="12" t="s">
        <v>1104</v>
      </c>
      <c r="C575" s="12" t="s">
        <v>50</v>
      </c>
      <c r="D575" s="13"/>
      <c r="E575" s="14" t="s">
        <v>1105</v>
      </c>
      <c r="F575" s="15" t="s">
        <v>24</v>
      </c>
      <c r="G575" s="16"/>
      <c r="H575" s="36">
        <v>1569</v>
      </c>
      <c r="I575" s="36">
        <f>ROUND(H575-(H575*I2/100),2)</f>
        <v>1569</v>
      </c>
      <c r="J575" s="17">
        <v>24</v>
      </c>
      <c r="K575" s="18"/>
      <c r="L575" s="18"/>
      <c r="M575" s="20"/>
      <c r="N575" s="37">
        <f t="shared" si="21"/>
        <v>0</v>
      </c>
      <c r="O575" s="21">
        <v>1.917</v>
      </c>
      <c r="P575" s="22">
        <v>1.256E-3</v>
      </c>
    </row>
    <row r="576" spans="1:16" s="1" customFormat="1" ht="119.1" customHeight="1" outlineLevel="4" x14ac:dyDescent="0.2">
      <c r="A576" s="11">
        <v>186146</v>
      </c>
      <c r="B576" s="12" t="s">
        <v>1106</v>
      </c>
      <c r="C576" s="12" t="s">
        <v>22</v>
      </c>
      <c r="D576" s="13"/>
      <c r="E576" s="14" t="s">
        <v>1107</v>
      </c>
      <c r="F576" s="15" t="s">
        <v>24</v>
      </c>
      <c r="G576" s="16"/>
      <c r="H576" s="36">
        <v>2210.5</v>
      </c>
      <c r="I576" s="36">
        <f>ROUND(H576-(H576*I2/100),2)</f>
        <v>2210.5</v>
      </c>
      <c r="J576" s="17">
        <v>53</v>
      </c>
      <c r="K576" s="18"/>
      <c r="L576" s="18"/>
      <c r="M576" s="20"/>
      <c r="N576" s="37">
        <f t="shared" si="21"/>
        <v>0</v>
      </c>
      <c r="O576" s="21">
        <v>1.75</v>
      </c>
      <c r="P576" s="22">
        <v>1.193E-3</v>
      </c>
    </row>
    <row r="577" spans="1:16" s="1" customFormat="1" ht="119.1" customHeight="1" outlineLevel="4" x14ac:dyDescent="0.2">
      <c r="A577" s="11">
        <v>188080</v>
      </c>
      <c r="B577" s="12" t="s">
        <v>1108</v>
      </c>
      <c r="C577" s="12" t="s">
        <v>22</v>
      </c>
      <c r="D577" s="13"/>
      <c r="E577" s="14" t="s">
        <v>1109</v>
      </c>
      <c r="F577" s="15" t="s">
        <v>24</v>
      </c>
      <c r="G577" s="16"/>
      <c r="H577" s="36">
        <v>613.9</v>
      </c>
      <c r="I577" s="36">
        <f>ROUND(H577-(H577*I2/100),2)</f>
        <v>613.9</v>
      </c>
      <c r="J577" s="17">
        <v>24</v>
      </c>
      <c r="K577" s="18"/>
      <c r="L577" s="18"/>
      <c r="M577" s="20"/>
      <c r="N577" s="37">
        <f t="shared" si="21"/>
        <v>0</v>
      </c>
      <c r="O577" s="21">
        <v>1</v>
      </c>
      <c r="P577" s="22">
        <v>8.0000000000000004E-4</v>
      </c>
    </row>
    <row r="578" spans="1:16" s="1" customFormat="1" ht="119.1" customHeight="1" outlineLevel="4" x14ac:dyDescent="0.2">
      <c r="A578" s="11">
        <v>181135</v>
      </c>
      <c r="B578" s="12" t="s">
        <v>1110</v>
      </c>
      <c r="C578" s="12" t="s">
        <v>22</v>
      </c>
      <c r="D578" s="13"/>
      <c r="E578" s="14" t="s">
        <v>1111</v>
      </c>
      <c r="F578" s="15" t="s">
        <v>24</v>
      </c>
      <c r="G578" s="16"/>
      <c r="H578" s="36">
        <v>2068.1999999999998</v>
      </c>
      <c r="I578" s="36">
        <f>ROUND(H578-(H578*I2/100),2)</f>
        <v>2068.1999999999998</v>
      </c>
      <c r="J578" s="17">
        <v>43</v>
      </c>
      <c r="K578" s="18"/>
      <c r="L578" s="18"/>
      <c r="M578" s="20"/>
      <c r="N578" s="37">
        <f t="shared" si="21"/>
        <v>0</v>
      </c>
      <c r="O578" s="21">
        <v>1.458</v>
      </c>
      <c r="P578" s="22">
        <v>1.4760000000000001E-3</v>
      </c>
    </row>
    <row r="579" spans="1:16" s="1" customFormat="1" ht="119.1" customHeight="1" outlineLevel="4" x14ac:dyDescent="0.2">
      <c r="A579" s="11">
        <v>181136</v>
      </c>
      <c r="B579" s="12" t="s">
        <v>1112</v>
      </c>
      <c r="C579" s="12" t="s">
        <v>22</v>
      </c>
      <c r="D579" s="13"/>
      <c r="E579" s="14" t="s">
        <v>1113</v>
      </c>
      <c r="F579" s="15" t="s">
        <v>24</v>
      </c>
      <c r="G579" s="16"/>
      <c r="H579" s="36">
        <v>3110.2</v>
      </c>
      <c r="I579" s="36">
        <f>ROUND(H579-(H579*I2/100),2)</f>
        <v>3110.2</v>
      </c>
      <c r="J579" s="17">
        <v>3</v>
      </c>
      <c r="K579" s="18"/>
      <c r="L579" s="18"/>
      <c r="M579" s="20"/>
      <c r="N579" s="37">
        <f t="shared" si="21"/>
        <v>0</v>
      </c>
      <c r="O579" s="21">
        <v>2.5</v>
      </c>
      <c r="P579" s="22">
        <v>2.2420000000000001E-3</v>
      </c>
    </row>
    <row r="580" spans="1:16" s="1" customFormat="1" ht="119.1" customHeight="1" outlineLevel="4" x14ac:dyDescent="0.2">
      <c r="A580" s="11">
        <v>216888</v>
      </c>
      <c r="B580" s="12" t="s">
        <v>1114</v>
      </c>
      <c r="C580" s="12" t="s">
        <v>50</v>
      </c>
      <c r="D580" s="13"/>
      <c r="E580" s="14" t="s">
        <v>1115</v>
      </c>
      <c r="F580" s="15" t="s">
        <v>24</v>
      </c>
      <c r="G580" s="16"/>
      <c r="H580" s="36">
        <v>384.1</v>
      </c>
      <c r="I580" s="36">
        <f>ROUND(H580-(H580*I2/100),2)</f>
        <v>384.1</v>
      </c>
      <c r="J580" s="17">
        <v>153</v>
      </c>
      <c r="K580" s="18"/>
      <c r="L580" s="18"/>
      <c r="M580" s="20"/>
      <c r="N580" s="37">
        <f t="shared" si="21"/>
        <v>0</v>
      </c>
      <c r="O580" s="21">
        <v>0.39</v>
      </c>
      <c r="P580" s="22">
        <v>2.92E-4</v>
      </c>
    </row>
    <row r="581" spans="1:16" s="1" customFormat="1" ht="119.1" customHeight="1" outlineLevel="4" x14ac:dyDescent="0.2">
      <c r="A581" s="11">
        <v>216889</v>
      </c>
      <c r="B581" s="12" t="s">
        <v>1116</v>
      </c>
      <c r="C581" s="12" t="s">
        <v>50</v>
      </c>
      <c r="D581" s="13"/>
      <c r="E581" s="14" t="s">
        <v>1117</v>
      </c>
      <c r="F581" s="15" t="s">
        <v>24</v>
      </c>
      <c r="G581" s="16"/>
      <c r="H581" s="36">
        <v>642.5</v>
      </c>
      <c r="I581" s="36">
        <f>ROUND(H581-(H581*I2/100),2)</f>
        <v>642.5</v>
      </c>
      <c r="J581" s="17">
        <v>89</v>
      </c>
      <c r="K581" s="18"/>
      <c r="L581" s="18"/>
      <c r="M581" s="20"/>
      <c r="N581" s="37">
        <f t="shared" si="21"/>
        <v>0</v>
      </c>
      <c r="O581" s="21">
        <v>0.83799999999999997</v>
      </c>
      <c r="P581" s="22">
        <v>9.2000000000000003E-4</v>
      </c>
    </row>
    <row r="582" spans="1:16" s="1" customFormat="1" ht="119.1" customHeight="1" outlineLevel="4" x14ac:dyDescent="0.2">
      <c r="A582" s="11">
        <v>170559</v>
      </c>
      <c r="B582" s="12" t="s">
        <v>1118</v>
      </c>
      <c r="C582" s="12" t="s">
        <v>22</v>
      </c>
      <c r="D582" s="28"/>
      <c r="E582" s="29" t="s">
        <v>1119</v>
      </c>
      <c r="F582" s="30" t="s">
        <v>24</v>
      </c>
      <c r="G582" s="31" t="s">
        <v>209</v>
      </c>
      <c r="H582" s="36">
        <v>689.3</v>
      </c>
      <c r="I582" s="36">
        <f>ROUND(H582-(H582*I2/100),2)</f>
        <v>689.3</v>
      </c>
      <c r="J582" s="17">
        <v>217</v>
      </c>
      <c r="K582" s="18"/>
      <c r="L582" s="18"/>
      <c r="M582" s="20"/>
      <c r="N582" s="37">
        <f t="shared" si="21"/>
        <v>0</v>
      </c>
      <c r="O582" s="21">
        <v>0.77800000000000002</v>
      </c>
      <c r="P582" s="22">
        <v>4.9612999999999997E-2</v>
      </c>
    </row>
    <row r="583" spans="1:16" s="1" customFormat="1" ht="119.1" customHeight="1" outlineLevel="4" x14ac:dyDescent="0.2">
      <c r="A583" s="11">
        <v>181139</v>
      </c>
      <c r="B583" s="12" t="s">
        <v>1120</v>
      </c>
      <c r="C583" s="12" t="s">
        <v>22</v>
      </c>
      <c r="D583" s="13"/>
      <c r="E583" s="14" t="s">
        <v>1121</v>
      </c>
      <c r="F583" s="15" t="s">
        <v>24</v>
      </c>
      <c r="G583" s="16"/>
      <c r="H583" s="36">
        <v>1125.4000000000001</v>
      </c>
      <c r="I583" s="36">
        <f>ROUND(H583-(H583*I2/100),2)</f>
        <v>1125.4000000000001</v>
      </c>
      <c r="J583" s="17">
        <v>55</v>
      </c>
      <c r="K583" s="18"/>
      <c r="L583" s="18"/>
      <c r="M583" s="20"/>
      <c r="N583" s="37">
        <f t="shared" si="21"/>
        <v>0</v>
      </c>
      <c r="O583" s="21">
        <v>1.3879999999999999</v>
      </c>
      <c r="P583" s="22">
        <v>8.83E-4</v>
      </c>
    </row>
    <row r="584" spans="1:16" s="1" customFormat="1" ht="119.1" customHeight="1" outlineLevel="4" x14ac:dyDescent="0.2">
      <c r="A584" s="11">
        <v>170558</v>
      </c>
      <c r="B584" s="12" t="s">
        <v>1122</v>
      </c>
      <c r="C584" s="12" t="s">
        <v>22</v>
      </c>
      <c r="D584" s="28"/>
      <c r="E584" s="29" t="s">
        <v>1123</v>
      </c>
      <c r="F584" s="30" t="s">
        <v>24</v>
      </c>
      <c r="G584" s="31" t="s">
        <v>209</v>
      </c>
      <c r="H584" s="36">
        <v>1105</v>
      </c>
      <c r="I584" s="36">
        <f>ROUND(H584-(H584*I2/100),2)</f>
        <v>1105</v>
      </c>
      <c r="J584" s="17">
        <v>152</v>
      </c>
      <c r="K584" s="18"/>
      <c r="L584" s="18"/>
      <c r="M584" s="20"/>
      <c r="N584" s="37">
        <f t="shared" si="21"/>
        <v>0</v>
      </c>
      <c r="O584" s="21">
        <v>1.4</v>
      </c>
      <c r="P584" s="22">
        <v>9.0300000000000005E-4</v>
      </c>
    </row>
    <row r="585" spans="1:16" s="1" customFormat="1" ht="119.1" customHeight="1" outlineLevel="4" x14ac:dyDescent="0.2">
      <c r="A585" s="11">
        <v>181140</v>
      </c>
      <c r="B585" s="12" t="s">
        <v>1124</v>
      </c>
      <c r="C585" s="12" t="s">
        <v>22</v>
      </c>
      <c r="D585" s="13"/>
      <c r="E585" s="14" t="s">
        <v>1125</v>
      </c>
      <c r="F585" s="15" t="s">
        <v>24</v>
      </c>
      <c r="G585" s="16"/>
      <c r="H585" s="36">
        <v>1864.4</v>
      </c>
      <c r="I585" s="36">
        <f>ROUND(H585-(H585*I2/100),2)</f>
        <v>1864.4</v>
      </c>
      <c r="J585" s="17">
        <v>58</v>
      </c>
      <c r="K585" s="18"/>
      <c r="L585" s="18"/>
      <c r="M585" s="20"/>
      <c r="N585" s="37">
        <f t="shared" si="21"/>
        <v>0</v>
      </c>
      <c r="O585" s="21">
        <v>2.4500000000000002</v>
      </c>
      <c r="P585" s="22">
        <v>1.5820000000000001E-3</v>
      </c>
    </row>
    <row r="586" spans="1:16" s="1" customFormat="1" ht="119.1" customHeight="1" outlineLevel="4" x14ac:dyDescent="0.2">
      <c r="A586" s="11">
        <v>170560</v>
      </c>
      <c r="B586" s="12" t="s">
        <v>1126</v>
      </c>
      <c r="C586" s="12" t="s">
        <v>22</v>
      </c>
      <c r="D586" s="13"/>
      <c r="E586" s="14" t="s">
        <v>1127</v>
      </c>
      <c r="F586" s="15" t="s">
        <v>24</v>
      </c>
      <c r="G586" s="16"/>
      <c r="H586" s="36">
        <v>1718</v>
      </c>
      <c r="I586" s="36">
        <f>ROUND(H586-(H586*I2/100),2)</f>
        <v>1718</v>
      </c>
      <c r="J586" s="17">
        <v>135</v>
      </c>
      <c r="K586" s="18"/>
      <c r="L586" s="18"/>
      <c r="M586" s="20"/>
      <c r="N586" s="37">
        <f t="shared" si="21"/>
        <v>0</v>
      </c>
      <c r="O586" s="21">
        <v>2.5</v>
      </c>
      <c r="P586" s="22">
        <v>1.3090000000000001E-3</v>
      </c>
    </row>
    <row r="587" spans="1:16" s="1" customFormat="1" ht="119.1" customHeight="1" outlineLevel="4" x14ac:dyDescent="0.2">
      <c r="A587" s="11">
        <v>197320</v>
      </c>
      <c r="B587" s="12" t="s">
        <v>1128</v>
      </c>
      <c r="C587" s="12" t="s">
        <v>50</v>
      </c>
      <c r="D587" s="13"/>
      <c r="E587" s="14" t="s">
        <v>1129</v>
      </c>
      <c r="F587" s="15" t="s">
        <v>24</v>
      </c>
      <c r="G587" s="16"/>
      <c r="H587" s="36">
        <v>509.1</v>
      </c>
      <c r="I587" s="36">
        <f>ROUND(H587-(H587*I2/100),2)</f>
        <v>509.1</v>
      </c>
      <c r="J587" s="17">
        <v>138</v>
      </c>
      <c r="K587" s="18"/>
      <c r="L587" s="18"/>
      <c r="M587" s="20"/>
      <c r="N587" s="37">
        <f t="shared" si="21"/>
        <v>0</v>
      </c>
      <c r="O587" s="21">
        <v>0.70399999999999996</v>
      </c>
      <c r="P587" s="22">
        <v>4.1599999999999997E-4</v>
      </c>
    </row>
    <row r="588" spans="1:16" s="1" customFormat="1" ht="119.1" customHeight="1" outlineLevel="4" x14ac:dyDescent="0.2">
      <c r="A588" s="11">
        <v>197321</v>
      </c>
      <c r="B588" s="12" t="s">
        <v>1130</v>
      </c>
      <c r="C588" s="12" t="s">
        <v>50</v>
      </c>
      <c r="D588" s="13"/>
      <c r="E588" s="14" t="s">
        <v>1131</v>
      </c>
      <c r="F588" s="15" t="s">
        <v>24</v>
      </c>
      <c r="G588" s="16"/>
      <c r="H588" s="36">
        <v>822.1</v>
      </c>
      <c r="I588" s="36">
        <f>ROUND(H588-(H588*I2/100),2)</f>
        <v>822.1</v>
      </c>
      <c r="J588" s="17">
        <v>171</v>
      </c>
      <c r="K588" s="18"/>
      <c r="L588" s="18"/>
      <c r="M588" s="20"/>
      <c r="N588" s="37">
        <f t="shared" si="21"/>
        <v>0</v>
      </c>
      <c r="O588" s="21">
        <v>1.3</v>
      </c>
      <c r="P588" s="22">
        <v>8.83E-4</v>
      </c>
    </row>
    <row r="589" spans="1:16" s="1" customFormat="1" ht="119.1" customHeight="1" outlineLevel="4" x14ac:dyDescent="0.2">
      <c r="A589" s="11">
        <v>197318</v>
      </c>
      <c r="B589" s="12" t="s">
        <v>1132</v>
      </c>
      <c r="C589" s="12" t="s">
        <v>50</v>
      </c>
      <c r="D589" s="13"/>
      <c r="E589" s="14" t="s">
        <v>1133</v>
      </c>
      <c r="F589" s="15" t="s">
        <v>24</v>
      </c>
      <c r="G589" s="16"/>
      <c r="H589" s="36">
        <v>533.1</v>
      </c>
      <c r="I589" s="36">
        <f>ROUND(H589-(H589*I2/100),2)</f>
        <v>533.1</v>
      </c>
      <c r="J589" s="17">
        <v>144</v>
      </c>
      <c r="K589" s="18"/>
      <c r="L589" s="18"/>
      <c r="M589" s="20"/>
      <c r="N589" s="37">
        <f t="shared" si="21"/>
        <v>0</v>
      </c>
      <c r="O589" s="21">
        <v>0.70399999999999996</v>
      </c>
      <c r="P589" s="22">
        <v>4.9600000000000002E-4</v>
      </c>
    </row>
    <row r="590" spans="1:16" s="1" customFormat="1" ht="119.1" customHeight="1" outlineLevel="4" x14ac:dyDescent="0.2">
      <c r="A590" s="11">
        <v>196269</v>
      </c>
      <c r="B590" s="12" t="s">
        <v>1134</v>
      </c>
      <c r="C590" s="12" t="s">
        <v>50</v>
      </c>
      <c r="D590" s="13"/>
      <c r="E590" s="14" t="s">
        <v>1135</v>
      </c>
      <c r="F590" s="15" t="s">
        <v>24</v>
      </c>
      <c r="G590" s="16"/>
      <c r="H590" s="36">
        <v>852.5</v>
      </c>
      <c r="I590" s="36">
        <f>ROUND(H590-(H590*I2/100),2)</f>
        <v>852.5</v>
      </c>
      <c r="J590" s="17">
        <v>136</v>
      </c>
      <c r="K590" s="18"/>
      <c r="L590" s="18"/>
      <c r="M590" s="20"/>
      <c r="N590" s="37">
        <f t="shared" si="21"/>
        <v>0</v>
      </c>
      <c r="O590" s="21">
        <v>1.3129999999999999</v>
      </c>
      <c r="P590" s="22">
        <v>9.0300000000000005E-4</v>
      </c>
    </row>
    <row r="591" spans="1:16" s="1" customFormat="1" ht="119.1" customHeight="1" outlineLevel="4" x14ac:dyDescent="0.2">
      <c r="A591" s="11">
        <v>198536</v>
      </c>
      <c r="B591" s="12" t="s">
        <v>1136</v>
      </c>
      <c r="C591" s="12" t="s">
        <v>50</v>
      </c>
      <c r="D591" s="13"/>
      <c r="E591" s="14" t="s">
        <v>1137</v>
      </c>
      <c r="F591" s="15" t="s">
        <v>24</v>
      </c>
      <c r="G591" s="16"/>
      <c r="H591" s="36">
        <v>202.9</v>
      </c>
      <c r="I591" s="36">
        <f>ROUND(H591-(H591*I2/100),2)</f>
        <v>202.9</v>
      </c>
      <c r="J591" s="17">
        <v>5</v>
      </c>
      <c r="K591" s="18"/>
      <c r="L591" s="18"/>
      <c r="M591" s="20"/>
      <c r="N591" s="37">
        <f t="shared" si="21"/>
        <v>0</v>
      </c>
      <c r="O591" s="21">
        <v>0.20399999999999999</v>
      </c>
      <c r="P591" s="22">
        <v>1.755E-3</v>
      </c>
    </row>
    <row r="592" spans="1:16" s="1" customFormat="1" ht="119.1" customHeight="1" outlineLevel="4" x14ac:dyDescent="0.2">
      <c r="A592" s="11">
        <v>210404</v>
      </c>
      <c r="B592" s="12" t="s">
        <v>1138</v>
      </c>
      <c r="C592" s="12" t="s">
        <v>50</v>
      </c>
      <c r="D592" s="13"/>
      <c r="E592" s="14" t="s">
        <v>1139</v>
      </c>
      <c r="F592" s="15" t="s">
        <v>24</v>
      </c>
      <c r="G592" s="16"/>
      <c r="H592" s="36">
        <v>950.7</v>
      </c>
      <c r="I592" s="36">
        <f>ROUND(H592-(H592*I2/100),2)</f>
        <v>950.7</v>
      </c>
      <c r="J592" s="17">
        <v>17</v>
      </c>
      <c r="K592" s="18"/>
      <c r="L592" s="18"/>
      <c r="M592" s="20"/>
      <c r="N592" s="37">
        <f t="shared" ref="N592:N623" si="22">I592*M592</f>
        <v>0</v>
      </c>
      <c r="O592" s="21">
        <v>0.3</v>
      </c>
      <c r="P592" s="22">
        <v>5.0000000000000001E-4</v>
      </c>
    </row>
    <row r="593" spans="1:16" s="1" customFormat="1" ht="119.1" customHeight="1" outlineLevel="4" x14ac:dyDescent="0.2">
      <c r="A593" s="11">
        <v>210405</v>
      </c>
      <c r="B593" s="12" t="s">
        <v>1140</v>
      </c>
      <c r="C593" s="12" t="s">
        <v>50</v>
      </c>
      <c r="D593" s="13"/>
      <c r="E593" s="14" t="s">
        <v>1141</v>
      </c>
      <c r="F593" s="15" t="s">
        <v>24</v>
      </c>
      <c r="G593" s="16"/>
      <c r="H593" s="36">
        <v>543.79999999999995</v>
      </c>
      <c r="I593" s="36">
        <f>ROUND(H593-(H593*I2/100),2)</f>
        <v>543.79999999999995</v>
      </c>
      <c r="J593" s="17">
        <v>8</v>
      </c>
      <c r="K593" s="18"/>
      <c r="L593" s="18"/>
      <c r="M593" s="20"/>
      <c r="N593" s="37">
        <f t="shared" si="22"/>
        <v>0</v>
      </c>
      <c r="O593" s="21">
        <v>0.3</v>
      </c>
      <c r="P593" s="22">
        <v>5.0000000000000001E-4</v>
      </c>
    </row>
    <row r="594" spans="1:16" s="8" customFormat="1" ht="15.95" customHeight="1" outlineLevel="3" x14ac:dyDescent="0.25">
      <c r="A594" s="9"/>
      <c r="B594" s="10"/>
      <c r="C594" s="10"/>
      <c r="D594" s="10" t="s">
        <v>1142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 spans="1:16" s="1" customFormat="1" ht="119.1" customHeight="1" outlineLevel="4" x14ac:dyDescent="0.2">
      <c r="A595" s="11">
        <v>217022</v>
      </c>
      <c r="B595" s="12" t="s">
        <v>1143</v>
      </c>
      <c r="C595" s="12" t="s">
        <v>50</v>
      </c>
      <c r="D595" s="13"/>
      <c r="E595" s="14" t="s">
        <v>1144</v>
      </c>
      <c r="F595" s="15" t="s">
        <v>24</v>
      </c>
      <c r="G595" s="16"/>
      <c r="H595" s="36">
        <v>1882.4</v>
      </c>
      <c r="I595" s="36">
        <f>ROUND(H595-(H595*I2/100),2)</f>
        <v>1882.4</v>
      </c>
      <c r="J595" s="17">
        <v>20</v>
      </c>
      <c r="K595" s="18"/>
      <c r="L595" s="18"/>
      <c r="M595" s="20"/>
      <c r="N595" s="37">
        <f>I595*M595</f>
        <v>0</v>
      </c>
      <c r="O595" s="21">
        <v>3.8330000000000002</v>
      </c>
      <c r="P595" s="22">
        <v>3.15E-3</v>
      </c>
    </row>
    <row r="596" spans="1:16" s="1" customFormat="1" ht="119.1" customHeight="1" outlineLevel="4" x14ac:dyDescent="0.2">
      <c r="A596" s="11">
        <v>206772</v>
      </c>
      <c r="B596" s="12" t="s">
        <v>1145</v>
      </c>
      <c r="C596" s="12" t="s">
        <v>22</v>
      </c>
      <c r="D596" s="13"/>
      <c r="E596" s="14" t="s">
        <v>1146</v>
      </c>
      <c r="F596" s="15" t="s">
        <v>24</v>
      </c>
      <c r="G596" s="16"/>
      <c r="H596" s="36">
        <v>858.8</v>
      </c>
      <c r="I596" s="36">
        <f>ROUND(H596-(H596*I2/100),2)</f>
        <v>858.8</v>
      </c>
      <c r="J596" s="17">
        <v>122</v>
      </c>
      <c r="K596" s="18"/>
      <c r="L596" s="18"/>
      <c r="M596" s="20"/>
      <c r="N596" s="37">
        <f>I596*M596</f>
        <v>0</v>
      </c>
      <c r="O596" s="21">
        <v>1.2</v>
      </c>
      <c r="P596" s="22">
        <v>2E-3</v>
      </c>
    </row>
    <row r="597" spans="1:16" s="1" customFormat="1" ht="119.1" customHeight="1" outlineLevel="4" x14ac:dyDescent="0.2">
      <c r="A597" s="11">
        <v>196631</v>
      </c>
      <c r="B597" s="12" t="s">
        <v>1147</v>
      </c>
      <c r="C597" s="12" t="s">
        <v>50</v>
      </c>
      <c r="D597" s="13"/>
      <c r="E597" s="14" t="s">
        <v>1148</v>
      </c>
      <c r="F597" s="15" t="s">
        <v>24</v>
      </c>
      <c r="G597" s="16"/>
      <c r="H597" s="36">
        <v>676.4</v>
      </c>
      <c r="I597" s="36">
        <f>ROUND(H597-(H597*I2/100),2)</f>
        <v>676.4</v>
      </c>
      <c r="J597" s="17">
        <v>282</v>
      </c>
      <c r="K597" s="18"/>
      <c r="L597" s="18"/>
      <c r="M597" s="20"/>
      <c r="N597" s="37">
        <f>I597*M597</f>
        <v>0</v>
      </c>
      <c r="O597" s="21">
        <v>1.417</v>
      </c>
      <c r="P597" s="22">
        <v>3.375E-3</v>
      </c>
    </row>
    <row r="598" spans="1:16" s="1" customFormat="1" ht="119.1" customHeight="1" outlineLevel="4" x14ac:dyDescent="0.2">
      <c r="A598" s="11">
        <v>198538</v>
      </c>
      <c r="B598" s="12" t="s">
        <v>1149</v>
      </c>
      <c r="C598" s="12" t="s">
        <v>50</v>
      </c>
      <c r="D598" s="13"/>
      <c r="E598" s="14" t="s">
        <v>1150</v>
      </c>
      <c r="F598" s="15" t="s">
        <v>24</v>
      </c>
      <c r="G598" s="16"/>
      <c r="H598" s="36">
        <v>1382.2</v>
      </c>
      <c r="I598" s="36">
        <f>ROUND(H598-(H598*I2/100),2)</f>
        <v>1382.2</v>
      </c>
      <c r="J598" s="17">
        <v>182</v>
      </c>
      <c r="K598" s="18"/>
      <c r="L598" s="18"/>
      <c r="M598" s="20"/>
      <c r="N598" s="37">
        <f>I598*M598</f>
        <v>0</v>
      </c>
      <c r="O598" s="21">
        <v>3</v>
      </c>
      <c r="P598" s="22">
        <v>9.3100000000000006E-3</v>
      </c>
    </row>
    <row r="599" spans="1:16" s="8" customFormat="1" ht="15.95" customHeight="1" outlineLevel="3" x14ac:dyDescent="0.25">
      <c r="A599" s="9"/>
      <c r="B599" s="10"/>
      <c r="C599" s="10"/>
      <c r="D599" s="10" t="s">
        <v>1151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 spans="1:16" s="1" customFormat="1" ht="119.1" customHeight="1" outlineLevel="4" x14ac:dyDescent="0.2">
      <c r="A600" s="11">
        <v>196273</v>
      </c>
      <c r="B600" s="12" t="s">
        <v>1152</v>
      </c>
      <c r="C600" s="12" t="s">
        <v>50</v>
      </c>
      <c r="D600" s="13"/>
      <c r="E600" s="14" t="s">
        <v>1153</v>
      </c>
      <c r="F600" s="15" t="s">
        <v>24</v>
      </c>
      <c r="G600" s="16"/>
      <c r="H600" s="36">
        <v>547.70000000000005</v>
      </c>
      <c r="I600" s="36">
        <f>ROUND(H600-(H600*I2/100),2)</f>
        <v>547.70000000000005</v>
      </c>
      <c r="J600" s="17">
        <v>7</v>
      </c>
      <c r="K600" s="18"/>
      <c r="L600" s="18"/>
      <c r="M600" s="20"/>
      <c r="N600" s="37">
        <f t="shared" ref="N600:N607" si="23">I600*M600</f>
        <v>0</v>
      </c>
      <c r="O600" s="21">
        <v>1.125</v>
      </c>
      <c r="P600" s="22">
        <v>1.0399999999999999E-3</v>
      </c>
    </row>
    <row r="601" spans="1:16" s="1" customFormat="1" ht="119.1" customHeight="1" outlineLevel="4" x14ac:dyDescent="0.2">
      <c r="A601" s="11">
        <v>196222</v>
      </c>
      <c r="B601" s="12" t="s">
        <v>1154</v>
      </c>
      <c r="C601" s="12" t="s">
        <v>22</v>
      </c>
      <c r="D601" s="13"/>
      <c r="E601" s="14" t="s">
        <v>1155</v>
      </c>
      <c r="F601" s="15" t="s">
        <v>24</v>
      </c>
      <c r="G601" s="16"/>
      <c r="H601" s="36">
        <v>865.6</v>
      </c>
      <c r="I601" s="36">
        <f>ROUND(H601-(H601*I2/100),2)</f>
        <v>865.6</v>
      </c>
      <c r="J601" s="17">
        <v>9</v>
      </c>
      <c r="K601" s="18"/>
      <c r="L601" s="18"/>
      <c r="M601" s="20"/>
      <c r="N601" s="37">
        <f t="shared" si="23"/>
        <v>0</v>
      </c>
      <c r="O601" s="21">
        <v>1.875</v>
      </c>
      <c r="P601" s="22">
        <v>1.505E-3</v>
      </c>
    </row>
    <row r="602" spans="1:16" s="1" customFormat="1" ht="119.1" customHeight="1" outlineLevel="4" x14ac:dyDescent="0.2">
      <c r="A602" s="11">
        <v>196274</v>
      </c>
      <c r="B602" s="12" t="s">
        <v>1156</v>
      </c>
      <c r="C602" s="12" t="s">
        <v>50</v>
      </c>
      <c r="D602" s="13"/>
      <c r="E602" s="14" t="s">
        <v>1157</v>
      </c>
      <c r="F602" s="15" t="s">
        <v>24</v>
      </c>
      <c r="G602" s="16"/>
      <c r="H602" s="36">
        <v>573.29999999999995</v>
      </c>
      <c r="I602" s="36">
        <f>ROUND(H602-(H602*I2/100),2)</f>
        <v>573.29999999999995</v>
      </c>
      <c r="J602" s="17">
        <v>82</v>
      </c>
      <c r="K602" s="18"/>
      <c r="L602" s="18"/>
      <c r="M602" s="20"/>
      <c r="N602" s="37">
        <f t="shared" si="23"/>
        <v>0</v>
      </c>
      <c r="O602" s="21">
        <v>1.667</v>
      </c>
      <c r="P602" s="22">
        <v>1.462E-3</v>
      </c>
    </row>
    <row r="603" spans="1:16" s="1" customFormat="1" ht="119.1" customHeight="1" outlineLevel="4" x14ac:dyDescent="0.2">
      <c r="A603" s="11">
        <v>196223</v>
      </c>
      <c r="B603" s="12" t="s">
        <v>1158</v>
      </c>
      <c r="C603" s="12" t="s">
        <v>22</v>
      </c>
      <c r="D603" s="13"/>
      <c r="E603" s="14" t="s">
        <v>1159</v>
      </c>
      <c r="F603" s="15" t="s">
        <v>24</v>
      </c>
      <c r="G603" s="16"/>
      <c r="H603" s="36">
        <v>967</v>
      </c>
      <c r="I603" s="36">
        <f>ROUND(H603-(H603*I2/100),2)</f>
        <v>967</v>
      </c>
      <c r="J603" s="17">
        <v>321</v>
      </c>
      <c r="K603" s="18"/>
      <c r="L603" s="18"/>
      <c r="M603" s="20"/>
      <c r="N603" s="37">
        <f t="shared" si="23"/>
        <v>0</v>
      </c>
      <c r="O603" s="21">
        <v>2.3130000000000002</v>
      </c>
      <c r="P603" s="22">
        <v>1.7769999999999999E-3</v>
      </c>
    </row>
    <row r="604" spans="1:16" s="1" customFormat="1" ht="119.1" customHeight="1" outlineLevel="4" x14ac:dyDescent="0.2">
      <c r="A604" s="11">
        <v>196616</v>
      </c>
      <c r="B604" s="12" t="s">
        <v>1160</v>
      </c>
      <c r="C604" s="12" t="s">
        <v>50</v>
      </c>
      <c r="D604" s="13"/>
      <c r="E604" s="14" t="s">
        <v>1161</v>
      </c>
      <c r="F604" s="15" t="s">
        <v>24</v>
      </c>
      <c r="G604" s="16"/>
      <c r="H604" s="36">
        <v>696.6</v>
      </c>
      <c r="I604" s="36">
        <f>ROUND(H604-(H604*I2/100),2)</f>
        <v>696.6</v>
      </c>
      <c r="J604" s="17">
        <v>72</v>
      </c>
      <c r="K604" s="18"/>
      <c r="L604" s="18"/>
      <c r="M604" s="20"/>
      <c r="N604" s="37">
        <f t="shared" si="23"/>
        <v>0</v>
      </c>
      <c r="O604" s="21">
        <v>2.1669999999999998</v>
      </c>
      <c r="P604" s="22">
        <v>1.7769999999999999E-3</v>
      </c>
    </row>
    <row r="605" spans="1:16" s="1" customFormat="1" ht="119.1" customHeight="1" outlineLevel="4" x14ac:dyDescent="0.2">
      <c r="A605" s="11">
        <v>202241</v>
      </c>
      <c r="B605" s="12" t="s">
        <v>1162</v>
      </c>
      <c r="C605" s="12" t="s">
        <v>22</v>
      </c>
      <c r="D605" s="13"/>
      <c r="E605" s="14" t="s">
        <v>1163</v>
      </c>
      <c r="F605" s="15" t="s">
        <v>24</v>
      </c>
      <c r="G605" s="16"/>
      <c r="H605" s="36">
        <v>2220</v>
      </c>
      <c r="I605" s="36">
        <f>ROUND(H605-(H605*I2/100),2)</f>
        <v>2220</v>
      </c>
      <c r="J605" s="17">
        <v>204</v>
      </c>
      <c r="K605" s="18"/>
      <c r="L605" s="18"/>
      <c r="M605" s="20"/>
      <c r="N605" s="37">
        <f t="shared" si="23"/>
        <v>0</v>
      </c>
      <c r="O605" s="21">
        <v>4.0999999999999996</v>
      </c>
      <c r="P605" s="22">
        <v>0.02</v>
      </c>
    </row>
    <row r="606" spans="1:16" s="1" customFormat="1" ht="119.1" customHeight="1" outlineLevel="4" x14ac:dyDescent="0.2">
      <c r="A606" s="11">
        <v>200283</v>
      </c>
      <c r="B606" s="12" t="s">
        <v>1164</v>
      </c>
      <c r="C606" s="12" t="s">
        <v>50</v>
      </c>
      <c r="D606" s="13"/>
      <c r="E606" s="14" t="s">
        <v>1165</v>
      </c>
      <c r="F606" s="15" t="s">
        <v>24</v>
      </c>
      <c r="G606" s="16"/>
      <c r="H606" s="36">
        <v>2307.1999999999998</v>
      </c>
      <c r="I606" s="36">
        <f>ROUND(H606-(H606*I2/100),2)</f>
        <v>2307.1999999999998</v>
      </c>
      <c r="J606" s="17">
        <v>5</v>
      </c>
      <c r="K606" s="18"/>
      <c r="L606" s="18"/>
      <c r="M606" s="20"/>
      <c r="N606" s="37">
        <f t="shared" si="23"/>
        <v>0</v>
      </c>
      <c r="O606" s="21">
        <v>6.37</v>
      </c>
      <c r="P606" s="22">
        <v>1.008E-2</v>
      </c>
    </row>
    <row r="607" spans="1:16" s="1" customFormat="1" ht="119.1" customHeight="1" outlineLevel="4" x14ac:dyDescent="0.2">
      <c r="A607" s="11">
        <v>202242</v>
      </c>
      <c r="B607" s="12" t="s">
        <v>1166</v>
      </c>
      <c r="C607" s="12" t="s">
        <v>22</v>
      </c>
      <c r="D607" s="13"/>
      <c r="E607" s="14" t="s">
        <v>1167</v>
      </c>
      <c r="F607" s="15" t="s">
        <v>24</v>
      </c>
      <c r="G607" s="16"/>
      <c r="H607" s="36">
        <v>2571.8000000000002</v>
      </c>
      <c r="I607" s="36">
        <f>ROUND(H607-(H607*I2/100),2)</f>
        <v>2571.8000000000002</v>
      </c>
      <c r="J607" s="17">
        <v>204</v>
      </c>
      <c r="K607" s="18"/>
      <c r="L607" s="18"/>
      <c r="M607" s="20"/>
      <c r="N607" s="37">
        <f t="shared" si="23"/>
        <v>0</v>
      </c>
      <c r="O607" s="21">
        <v>5.0999999999999996</v>
      </c>
      <c r="P607" s="22">
        <v>0.02</v>
      </c>
    </row>
    <row r="608" spans="1:16" s="8" customFormat="1" ht="15.95" customHeight="1" outlineLevel="3" x14ac:dyDescent="0.25">
      <c r="A608" s="9"/>
      <c r="B608" s="10"/>
      <c r="C608" s="10"/>
      <c r="D608" s="10" t="s">
        <v>1168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 spans="1:16" s="1" customFormat="1" ht="119.1" customHeight="1" outlineLevel="4" x14ac:dyDescent="0.2">
      <c r="A609" s="11">
        <v>196216</v>
      </c>
      <c r="B609" s="12" t="s">
        <v>1169</v>
      </c>
      <c r="C609" s="12" t="s">
        <v>22</v>
      </c>
      <c r="D609" s="13"/>
      <c r="E609" s="14" t="s">
        <v>1170</v>
      </c>
      <c r="F609" s="15" t="s">
        <v>24</v>
      </c>
      <c r="G609" s="16"/>
      <c r="H609" s="36">
        <v>235.9</v>
      </c>
      <c r="I609" s="36">
        <f>ROUND(H609-(H609*I2/100),2)</f>
        <v>235.9</v>
      </c>
      <c r="J609" s="17">
        <v>627</v>
      </c>
      <c r="K609" s="18"/>
      <c r="L609" s="18"/>
      <c r="M609" s="20"/>
      <c r="N609" s="37">
        <f t="shared" ref="N609:N625" si="24">I609*M609</f>
        <v>0</v>
      </c>
      <c r="O609" s="21">
        <v>0.33300000000000002</v>
      </c>
      <c r="P609" s="22">
        <v>1.0044000000000001E-2</v>
      </c>
    </row>
    <row r="610" spans="1:16" s="1" customFormat="1" ht="119.1" customHeight="1" outlineLevel="4" x14ac:dyDescent="0.2">
      <c r="A610" s="11">
        <v>196271</v>
      </c>
      <c r="B610" s="12" t="s">
        <v>1171</v>
      </c>
      <c r="C610" s="12" t="s">
        <v>50</v>
      </c>
      <c r="D610" s="13"/>
      <c r="E610" s="14" t="s">
        <v>1172</v>
      </c>
      <c r="F610" s="15" t="s">
        <v>24</v>
      </c>
      <c r="G610" s="16"/>
      <c r="H610" s="36">
        <v>185.8</v>
      </c>
      <c r="I610" s="36">
        <f>ROUND(H610-(H610*I2/100),2)</f>
        <v>185.8</v>
      </c>
      <c r="J610" s="17">
        <v>559</v>
      </c>
      <c r="K610" s="18"/>
      <c r="L610" s="18"/>
      <c r="M610" s="20"/>
      <c r="N610" s="37">
        <f t="shared" si="24"/>
        <v>0</v>
      </c>
      <c r="O610" s="21">
        <v>0.29199999999999998</v>
      </c>
      <c r="P610" s="22">
        <v>1.0824E-2</v>
      </c>
    </row>
    <row r="611" spans="1:16" s="1" customFormat="1" ht="119.1" customHeight="1" outlineLevel="4" x14ac:dyDescent="0.2">
      <c r="A611" s="11">
        <v>197307</v>
      </c>
      <c r="B611" s="12" t="s">
        <v>1173</v>
      </c>
      <c r="C611" s="12" t="s">
        <v>50</v>
      </c>
      <c r="D611" s="13"/>
      <c r="E611" s="14" t="s">
        <v>1174</v>
      </c>
      <c r="F611" s="15" t="s">
        <v>24</v>
      </c>
      <c r="G611" s="16"/>
      <c r="H611" s="36">
        <v>232.3</v>
      </c>
      <c r="I611" s="36">
        <f>ROUND(H611-(H611*I2/100),2)</f>
        <v>232.3</v>
      </c>
      <c r="J611" s="17">
        <v>506</v>
      </c>
      <c r="K611" s="18"/>
      <c r="L611" s="18"/>
      <c r="M611" s="20"/>
      <c r="N611" s="37">
        <f t="shared" si="24"/>
        <v>0</v>
      </c>
      <c r="O611" s="21">
        <v>0.47199999999999998</v>
      </c>
      <c r="P611" s="22">
        <v>7.3399999999999995E-4</v>
      </c>
    </row>
    <row r="612" spans="1:16" s="1" customFormat="1" ht="119.1" customHeight="1" outlineLevel="4" x14ac:dyDescent="0.2">
      <c r="A612" s="11">
        <v>196218</v>
      </c>
      <c r="B612" s="12" t="s">
        <v>1175</v>
      </c>
      <c r="C612" s="12" t="s">
        <v>22</v>
      </c>
      <c r="D612" s="28"/>
      <c r="E612" s="29" t="s">
        <v>1176</v>
      </c>
      <c r="F612" s="30" t="s">
        <v>24</v>
      </c>
      <c r="G612" s="31" t="s">
        <v>209</v>
      </c>
      <c r="H612" s="36">
        <v>419.3</v>
      </c>
      <c r="I612" s="36">
        <f>ROUND(H612-(H612*I2/100),2)</f>
        <v>419.3</v>
      </c>
      <c r="J612" s="17">
        <v>190</v>
      </c>
      <c r="K612" s="18"/>
      <c r="L612" s="18"/>
      <c r="M612" s="20"/>
      <c r="N612" s="37">
        <f t="shared" si="24"/>
        <v>0</v>
      </c>
      <c r="O612" s="21">
        <v>0.75</v>
      </c>
      <c r="P612" s="22">
        <v>9.6299999999999999E-4</v>
      </c>
    </row>
    <row r="613" spans="1:16" s="1" customFormat="1" ht="119.1" customHeight="1" outlineLevel="4" x14ac:dyDescent="0.2">
      <c r="A613" s="11">
        <v>196272</v>
      </c>
      <c r="B613" s="12" t="s">
        <v>1177</v>
      </c>
      <c r="C613" s="12" t="s">
        <v>50</v>
      </c>
      <c r="D613" s="13"/>
      <c r="E613" s="14" t="s">
        <v>1178</v>
      </c>
      <c r="F613" s="15" t="s">
        <v>24</v>
      </c>
      <c r="G613" s="16"/>
      <c r="H613" s="36">
        <v>367.7</v>
      </c>
      <c r="I613" s="36">
        <f>ROUND(H613-(H613*I2/100),2)</f>
        <v>367.7</v>
      </c>
      <c r="J613" s="17">
        <v>473</v>
      </c>
      <c r="K613" s="18"/>
      <c r="L613" s="18"/>
      <c r="M613" s="20"/>
      <c r="N613" s="37">
        <f t="shared" si="24"/>
        <v>0</v>
      </c>
      <c r="O613" s="21">
        <v>0.75</v>
      </c>
      <c r="P613" s="22">
        <v>9.6299999999999999E-4</v>
      </c>
    </row>
    <row r="614" spans="1:16" s="1" customFormat="1" ht="119.1" customHeight="1" outlineLevel="4" x14ac:dyDescent="0.2">
      <c r="A614" s="11">
        <v>196219</v>
      </c>
      <c r="B614" s="12" t="s">
        <v>1179</v>
      </c>
      <c r="C614" s="12" t="s">
        <v>22</v>
      </c>
      <c r="D614" s="13"/>
      <c r="E614" s="14" t="s">
        <v>1180</v>
      </c>
      <c r="F614" s="15" t="s">
        <v>24</v>
      </c>
      <c r="G614" s="16"/>
      <c r="H614" s="36">
        <v>617.9</v>
      </c>
      <c r="I614" s="36">
        <f>ROUND(H614-(H614*I2/100),2)</f>
        <v>617.9</v>
      </c>
      <c r="J614" s="17">
        <v>203</v>
      </c>
      <c r="K614" s="18"/>
      <c r="L614" s="18"/>
      <c r="M614" s="20"/>
      <c r="N614" s="37">
        <f t="shared" si="24"/>
        <v>0</v>
      </c>
      <c r="O614" s="21">
        <v>1.333</v>
      </c>
      <c r="P614" s="22">
        <v>1.6770000000000001E-3</v>
      </c>
    </row>
    <row r="615" spans="1:16" s="1" customFormat="1" ht="119.1" customHeight="1" outlineLevel="4" x14ac:dyDescent="0.2">
      <c r="A615" s="11">
        <v>196220</v>
      </c>
      <c r="B615" s="12" t="s">
        <v>1181</v>
      </c>
      <c r="C615" s="12" t="s">
        <v>22</v>
      </c>
      <c r="D615" s="13"/>
      <c r="E615" s="14" t="s">
        <v>1182</v>
      </c>
      <c r="F615" s="15" t="s">
        <v>24</v>
      </c>
      <c r="G615" s="16"/>
      <c r="H615" s="36">
        <v>855.3</v>
      </c>
      <c r="I615" s="36">
        <f>ROUND(H615-(H615*I2/100),2)</f>
        <v>855.3</v>
      </c>
      <c r="J615" s="17">
        <v>173</v>
      </c>
      <c r="K615" s="18"/>
      <c r="L615" s="18"/>
      <c r="M615" s="20"/>
      <c r="N615" s="37">
        <f t="shared" si="24"/>
        <v>0</v>
      </c>
      <c r="O615" s="21">
        <v>1.958</v>
      </c>
      <c r="P615" s="22">
        <v>2.5560000000000001E-3</v>
      </c>
    </row>
    <row r="616" spans="1:16" s="1" customFormat="1" ht="119.1" customHeight="1" outlineLevel="4" x14ac:dyDescent="0.2">
      <c r="A616" s="11">
        <v>196221</v>
      </c>
      <c r="B616" s="12" t="s">
        <v>1183</v>
      </c>
      <c r="C616" s="12" t="s">
        <v>22</v>
      </c>
      <c r="D616" s="13"/>
      <c r="E616" s="14" t="s">
        <v>1184</v>
      </c>
      <c r="F616" s="15" t="s">
        <v>24</v>
      </c>
      <c r="G616" s="16"/>
      <c r="H616" s="36">
        <v>1080.5999999999999</v>
      </c>
      <c r="I616" s="36">
        <f>ROUND(H616-(H616*I2/100),2)</f>
        <v>1080.5999999999999</v>
      </c>
      <c r="J616" s="17">
        <v>86</v>
      </c>
      <c r="K616" s="18"/>
      <c r="L616" s="18"/>
      <c r="M616" s="20"/>
      <c r="N616" s="37">
        <f t="shared" si="24"/>
        <v>0</v>
      </c>
      <c r="O616" s="21">
        <v>2.4580000000000002</v>
      </c>
      <c r="P616" s="22">
        <v>3.7490000000000002E-3</v>
      </c>
    </row>
    <row r="617" spans="1:16" s="1" customFormat="1" ht="119.1" customHeight="1" outlineLevel="4" x14ac:dyDescent="0.2">
      <c r="A617" s="11">
        <v>203674</v>
      </c>
      <c r="B617" s="12" t="s">
        <v>1185</v>
      </c>
      <c r="C617" s="12" t="s">
        <v>22</v>
      </c>
      <c r="D617" s="13"/>
      <c r="E617" s="14" t="s">
        <v>1186</v>
      </c>
      <c r="F617" s="15" t="s">
        <v>24</v>
      </c>
      <c r="G617" s="16"/>
      <c r="H617" s="36">
        <v>570.5</v>
      </c>
      <c r="I617" s="36">
        <f>ROUND(H617-(H617*I2/100),2)</f>
        <v>570.5</v>
      </c>
      <c r="J617" s="17">
        <v>78</v>
      </c>
      <c r="K617" s="18"/>
      <c r="L617" s="18"/>
      <c r="M617" s="20"/>
      <c r="N617" s="37">
        <f t="shared" si="24"/>
        <v>0</v>
      </c>
      <c r="O617" s="21">
        <v>0.9</v>
      </c>
      <c r="P617" s="22">
        <v>2E-3</v>
      </c>
    </row>
    <row r="618" spans="1:16" s="1" customFormat="1" ht="119.1" customHeight="1" outlineLevel="4" x14ac:dyDescent="0.2">
      <c r="A618" s="11">
        <v>210398</v>
      </c>
      <c r="B618" s="12" t="s">
        <v>1187</v>
      </c>
      <c r="C618" s="12" t="s">
        <v>50</v>
      </c>
      <c r="D618" s="13"/>
      <c r="E618" s="14" t="s">
        <v>1188</v>
      </c>
      <c r="F618" s="15" t="s">
        <v>24</v>
      </c>
      <c r="G618" s="16"/>
      <c r="H618" s="36">
        <v>390.7</v>
      </c>
      <c r="I618" s="36">
        <f>ROUND(H618-(H618*I2/100),2)</f>
        <v>390.7</v>
      </c>
      <c r="J618" s="17">
        <v>116</v>
      </c>
      <c r="K618" s="18"/>
      <c r="L618" s="18"/>
      <c r="M618" s="20"/>
      <c r="N618" s="37">
        <f t="shared" si="24"/>
        <v>0</v>
      </c>
      <c r="O618" s="21">
        <v>0.3</v>
      </c>
      <c r="P618" s="22">
        <v>5.0000000000000001E-4</v>
      </c>
    </row>
    <row r="619" spans="1:16" s="1" customFormat="1" ht="119.1" customHeight="1" outlineLevel="4" x14ac:dyDescent="0.2">
      <c r="A619" s="11">
        <v>217025</v>
      </c>
      <c r="B619" s="12" t="s">
        <v>1189</v>
      </c>
      <c r="C619" s="12" t="s">
        <v>50</v>
      </c>
      <c r="D619" s="13"/>
      <c r="E619" s="14" t="s">
        <v>1190</v>
      </c>
      <c r="F619" s="15" t="s">
        <v>24</v>
      </c>
      <c r="G619" s="16"/>
      <c r="H619" s="36">
        <v>538.4</v>
      </c>
      <c r="I619" s="36">
        <f>ROUND(H619-(H619*I2/100),2)</f>
        <v>538.4</v>
      </c>
      <c r="J619" s="17">
        <v>53</v>
      </c>
      <c r="K619" s="18"/>
      <c r="L619" s="18"/>
      <c r="M619" s="20"/>
      <c r="N619" s="37">
        <f t="shared" si="24"/>
        <v>0</v>
      </c>
      <c r="O619" s="21">
        <v>0.88900000000000001</v>
      </c>
      <c r="P619" s="22">
        <v>2.7550000000000001E-3</v>
      </c>
    </row>
    <row r="620" spans="1:16" s="1" customFormat="1" ht="119.1" customHeight="1" outlineLevel="4" x14ac:dyDescent="0.2">
      <c r="A620" s="11">
        <v>216901</v>
      </c>
      <c r="B620" s="12" t="s">
        <v>1191</v>
      </c>
      <c r="C620" s="12" t="s">
        <v>50</v>
      </c>
      <c r="D620" s="13"/>
      <c r="E620" s="14" t="s">
        <v>1192</v>
      </c>
      <c r="F620" s="15" t="s">
        <v>24</v>
      </c>
      <c r="G620" s="16"/>
      <c r="H620" s="36">
        <v>385.5</v>
      </c>
      <c r="I620" s="36">
        <f>ROUND(H620-(H620*I2/100),2)</f>
        <v>385.5</v>
      </c>
      <c r="J620" s="17">
        <v>17</v>
      </c>
      <c r="K620" s="18"/>
      <c r="L620" s="18"/>
      <c r="M620" s="20"/>
      <c r="N620" s="37">
        <f t="shared" si="24"/>
        <v>0</v>
      </c>
      <c r="O620" s="21">
        <v>0.55800000000000005</v>
      </c>
      <c r="P620" s="22">
        <v>8.8699999999999998E-4</v>
      </c>
    </row>
    <row r="621" spans="1:16" s="1" customFormat="1" ht="119.1" customHeight="1" outlineLevel="4" x14ac:dyDescent="0.2">
      <c r="A621" s="11">
        <v>216902</v>
      </c>
      <c r="B621" s="12" t="s">
        <v>1193</v>
      </c>
      <c r="C621" s="12" t="s">
        <v>50</v>
      </c>
      <c r="D621" s="13"/>
      <c r="E621" s="14" t="s">
        <v>1194</v>
      </c>
      <c r="F621" s="15" t="s">
        <v>24</v>
      </c>
      <c r="G621" s="16"/>
      <c r="H621" s="36">
        <v>270.5</v>
      </c>
      <c r="I621" s="36">
        <f>ROUND(H621-(H621*I2/100),2)</f>
        <v>270.5</v>
      </c>
      <c r="J621" s="17">
        <v>71</v>
      </c>
      <c r="K621" s="18"/>
      <c r="L621" s="18"/>
      <c r="M621" s="20"/>
      <c r="N621" s="37">
        <f t="shared" si="24"/>
        <v>0</v>
      </c>
      <c r="O621" s="21">
        <v>0.34399999999999997</v>
      </c>
      <c r="P621" s="22">
        <v>4.0000000000000002E-4</v>
      </c>
    </row>
    <row r="622" spans="1:16" s="1" customFormat="1" ht="119.1" customHeight="1" outlineLevel="4" x14ac:dyDescent="0.2">
      <c r="A622" s="11">
        <v>216903</v>
      </c>
      <c r="B622" s="12" t="s">
        <v>1195</v>
      </c>
      <c r="C622" s="12" t="s">
        <v>50</v>
      </c>
      <c r="D622" s="13"/>
      <c r="E622" s="14" t="s">
        <v>1196</v>
      </c>
      <c r="F622" s="15" t="s">
        <v>24</v>
      </c>
      <c r="G622" s="16"/>
      <c r="H622" s="36">
        <v>372.9</v>
      </c>
      <c r="I622" s="36">
        <f>ROUND(H622-(H622*I2/100),2)</f>
        <v>372.9</v>
      </c>
      <c r="J622" s="17">
        <v>230</v>
      </c>
      <c r="K622" s="18"/>
      <c r="L622" s="18"/>
      <c r="M622" s="20"/>
      <c r="N622" s="37">
        <f t="shared" si="24"/>
        <v>0</v>
      </c>
      <c r="O622" s="21">
        <v>0.66700000000000004</v>
      </c>
      <c r="P622" s="22">
        <v>1.3849999999999999E-3</v>
      </c>
    </row>
    <row r="623" spans="1:16" s="1" customFormat="1" ht="119.1" customHeight="1" outlineLevel="4" x14ac:dyDescent="0.2">
      <c r="A623" s="11">
        <v>200461</v>
      </c>
      <c r="B623" s="12" t="s">
        <v>1197</v>
      </c>
      <c r="C623" s="12" t="s">
        <v>22</v>
      </c>
      <c r="D623" s="13"/>
      <c r="E623" s="14" t="s">
        <v>1198</v>
      </c>
      <c r="F623" s="15" t="s">
        <v>24</v>
      </c>
      <c r="G623" s="16"/>
      <c r="H623" s="36">
        <v>410.2</v>
      </c>
      <c r="I623" s="36">
        <f>ROUND(H623-(H623*I2/100),2)</f>
        <v>410.2</v>
      </c>
      <c r="J623" s="17">
        <v>193</v>
      </c>
      <c r="K623" s="18"/>
      <c r="L623" s="18"/>
      <c r="M623" s="20"/>
      <c r="N623" s="37">
        <f t="shared" si="24"/>
        <v>0</v>
      </c>
      <c r="O623" s="21">
        <v>0.8</v>
      </c>
      <c r="P623" s="22">
        <v>1.8E-3</v>
      </c>
    </row>
    <row r="624" spans="1:16" s="1" customFormat="1" ht="119.1" customHeight="1" outlineLevel="4" x14ac:dyDescent="0.2">
      <c r="A624" s="11">
        <v>216904</v>
      </c>
      <c r="B624" s="12" t="s">
        <v>1199</v>
      </c>
      <c r="C624" s="12" t="s">
        <v>50</v>
      </c>
      <c r="D624" s="13"/>
      <c r="E624" s="14" t="s">
        <v>1200</v>
      </c>
      <c r="F624" s="15" t="s">
        <v>24</v>
      </c>
      <c r="G624" s="16"/>
      <c r="H624" s="36">
        <v>407</v>
      </c>
      <c r="I624" s="36">
        <f>ROUND(H624-(H624*I2/100),2)</f>
        <v>407</v>
      </c>
      <c r="J624" s="17">
        <v>245</v>
      </c>
      <c r="K624" s="18"/>
      <c r="L624" s="18"/>
      <c r="M624" s="20"/>
      <c r="N624" s="37">
        <f t="shared" si="24"/>
        <v>0</v>
      </c>
      <c r="O624" s="21">
        <v>0.747</v>
      </c>
      <c r="P624" s="22">
        <v>1.3780000000000001E-3</v>
      </c>
    </row>
    <row r="625" spans="1:16" s="1" customFormat="1" ht="119.1" customHeight="1" outlineLevel="4" x14ac:dyDescent="0.2">
      <c r="A625" s="11">
        <v>200462</v>
      </c>
      <c r="B625" s="12" t="s">
        <v>1201</v>
      </c>
      <c r="C625" s="12" t="s">
        <v>22</v>
      </c>
      <c r="D625" s="13"/>
      <c r="E625" s="14" t="s">
        <v>1202</v>
      </c>
      <c r="F625" s="15" t="s">
        <v>24</v>
      </c>
      <c r="G625" s="16"/>
      <c r="H625" s="36">
        <v>474.3</v>
      </c>
      <c r="I625" s="36">
        <f>ROUND(H625-(H625*I2/100),2)</f>
        <v>474.3</v>
      </c>
      <c r="J625" s="17">
        <v>386</v>
      </c>
      <c r="K625" s="18"/>
      <c r="L625" s="18"/>
      <c r="M625" s="20"/>
      <c r="N625" s="37">
        <f t="shared" si="24"/>
        <v>0</v>
      </c>
      <c r="O625" s="21">
        <v>1.1000000000000001</v>
      </c>
      <c r="P625" s="22">
        <v>1.8E-3</v>
      </c>
    </row>
    <row r="626" spans="1:16" s="8" customFormat="1" ht="15.95" customHeight="1" outlineLevel="3" x14ac:dyDescent="0.25">
      <c r="A626" s="9"/>
      <c r="B626" s="10"/>
      <c r="C626" s="10"/>
      <c r="D626" s="10" t="s">
        <v>1203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 spans="1:16" s="1" customFormat="1" ht="119.1" customHeight="1" outlineLevel="4" x14ac:dyDescent="0.2">
      <c r="A627" s="11">
        <v>183340</v>
      </c>
      <c r="B627" s="12" t="s">
        <v>1204</v>
      </c>
      <c r="C627" s="12" t="s">
        <v>22</v>
      </c>
      <c r="D627" s="13"/>
      <c r="E627" s="14" t="s">
        <v>1205</v>
      </c>
      <c r="F627" s="15" t="s">
        <v>24</v>
      </c>
      <c r="G627" s="16"/>
      <c r="H627" s="36">
        <v>1056.0999999999999</v>
      </c>
      <c r="I627" s="36">
        <f>ROUND(H627-(H627*I2/100),2)</f>
        <v>1056.0999999999999</v>
      </c>
      <c r="J627" s="17">
        <v>12</v>
      </c>
      <c r="K627" s="18"/>
      <c r="L627" s="18"/>
      <c r="M627" s="20"/>
      <c r="N627" s="37">
        <f t="shared" ref="N627:N658" si="25">I627*M627</f>
        <v>0</v>
      </c>
      <c r="O627" s="21">
        <v>0.4</v>
      </c>
      <c r="P627" s="22">
        <v>4.0000000000000002E-4</v>
      </c>
    </row>
    <row r="628" spans="1:16" s="1" customFormat="1" ht="119.1" customHeight="1" outlineLevel="4" x14ac:dyDescent="0.2">
      <c r="A628" s="11">
        <v>169107</v>
      </c>
      <c r="B628" s="12" t="s">
        <v>1206</v>
      </c>
      <c r="C628" s="12" t="s">
        <v>22</v>
      </c>
      <c r="D628" s="13"/>
      <c r="E628" s="14" t="s">
        <v>1207</v>
      </c>
      <c r="F628" s="15" t="s">
        <v>24</v>
      </c>
      <c r="G628" s="16"/>
      <c r="H628" s="36">
        <v>1295.5999999999999</v>
      </c>
      <c r="I628" s="36">
        <f>ROUND(H628-(H628*I2/100),2)</f>
        <v>1295.5999999999999</v>
      </c>
      <c r="J628" s="17">
        <v>96</v>
      </c>
      <c r="K628" s="18"/>
      <c r="L628" s="18"/>
      <c r="M628" s="20"/>
      <c r="N628" s="37">
        <f t="shared" si="25"/>
        <v>0</v>
      </c>
      <c r="O628" s="21">
        <v>1.7</v>
      </c>
      <c r="P628" s="22">
        <v>1.7830000000000001E-3</v>
      </c>
    </row>
    <row r="629" spans="1:16" s="1" customFormat="1" ht="119.1" customHeight="1" outlineLevel="4" x14ac:dyDescent="0.2">
      <c r="A629" s="11">
        <v>183257</v>
      </c>
      <c r="B629" s="12" t="s">
        <v>1208</v>
      </c>
      <c r="C629" s="12" t="s">
        <v>22</v>
      </c>
      <c r="D629" s="13"/>
      <c r="E629" s="14" t="s">
        <v>1209</v>
      </c>
      <c r="F629" s="15" t="s">
        <v>24</v>
      </c>
      <c r="G629" s="16"/>
      <c r="H629" s="36">
        <v>1022.5</v>
      </c>
      <c r="I629" s="36">
        <f>ROUND(H629-(H629*I2/100),2)</f>
        <v>1022.5</v>
      </c>
      <c r="J629" s="17">
        <v>19</v>
      </c>
      <c r="K629" s="18"/>
      <c r="L629" s="18"/>
      <c r="M629" s="20"/>
      <c r="N629" s="37">
        <f t="shared" si="25"/>
        <v>0</v>
      </c>
      <c r="O629" s="21">
        <v>0.8</v>
      </c>
      <c r="P629" s="22">
        <v>2.0379999999999999E-3</v>
      </c>
    </row>
    <row r="630" spans="1:16" s="1" customFormat="1" ht="119.1" customHeight="1" outlineLevel="4" x14ac:dyDescent="0.2">
      <c r="A630" s="11">
        <v>165186</v>
      </c>
      <c r="B630" s="12" t="s">
        <v>1210</v>
      </c>
      <c r="C630" s="12" t="s">
        <v>22</v>
      </c>
      <c r="D630" s="13"/>
      <c r="E630" s="14" t="s">
        <v>1211</v>
      </c>
      <c r="F630" s="15" t="s">
        <v>24</v>
      </c>
      <c r="G630" s="16"/>
      <c r="H630" s="36">
        <v>1389.8</v>
      </c>
      <c r="I630" s="36">
        <f>ROUND(H630-(H630*I2/100),2)</f>
        <v>1389.8</v>
      </c>
      <c r="J630" s="17">
        <v>6</v>
      </c>
      <c r="K630" s="18"/>
      <c r="L630" s="18"/>
      <c r="M630" s="20"/>
      <c r="N630" s="37">
        <f t="shared" si="25"/>
        <v>0</v>
      </c>
      <c r="O630" s="21">
        <v>1.1379999999999999</v>
      </c>
      <c r="P630" s="22">
        <v>1.106E-3</v>
      </c>
    </row>
    <row r="631" spans="1:16" s="1" customFormat="1" ht="119.1" customHeight="1" outlineLevel="4" x14ac:dyDescent="0.2">
      <c r="A631" s="11">
        <v>171883</v>
      </c>
      <c r="B631" s="12" t="s">
        <v>1212</v>
      </c>
      <c r="C631" s="12" t="s">
        <v>22</v>
      </c>
      <c r="D631" s="28"/>
      <c r="E631" s="29" t="s">
        <v>1213</v>
      </c>
      <c r="F631" s="30" t="s">
        <v>24</v>
      </c>
      <c r="G631" s="31" t="s">
        <v>209</v>
      </c>
      <c r="H631" s="36">
        <v>1752.6</v>
      </c>
      <c r="I631" s="36">
        <f>ROUND(H631-(H631*I2/100),2)</f>
        <v>1752.6</v>
      </c>
      <c r="J631" s="17">
        <v>4</v>
      </c>
      <c r="K631" s="18"/>
      <c r="L631" s="18"/>
      <c r="M631" s="20"/>
      <c r="N631" s="37">
        <f t="shared" si="25"/>
        <v>0</v>
      </c>
      <c r="O631" s="21">
        <v>1.5</v>
      </c>
      <c r="P631" s="22">
        <v>2.418E-3</v>
      </c>
    </row>
    <row r="632" spans="1:16" s="1" customFormat="1" ht="119.1" customHeight="1" outlineLevel="4" x14ac:dyDescent="0.2">
      <c r="A632" s="11">
        <v>183771</v>
      </c>
      <c r="B632" s="12" t="s">
        <v>1214</v>
      </c>
      <c r="C632" s="12" t="s">
        <v>22</v>
      </c>
      <c r="D632" s="13"/>
      <c r="E632" s="14" t="s">
        <v>1215</v>
      </c>
      <c r="F632" s="15" t="s">
        <v>24</v>
      </c>
      <c r="G632" s="16"/>
      <c r="H632" s="36">
        <v>3185.2</v>
      </c>
      <c r="I632" s="36">
        <f>ROUND(H632-(H632*I2/100),2)</f>
        <v>3185.2</v>
      </c>
      <c r="J632" s="17">
        <v>46</v>
      </c>
      <c r="K632" s="18"/>
      <c r="L632" s="18"/>
      <c r="M632" s="20"/>
      <c r="N632" s="37">
        <f t="shared" si="25"/>
        <v>0</v>
      </c>
      <c r="O632" s="21">
        <v>3.1</v>
      </c>
      <c r="P632" s="22">
        <v>5.0159999999999996E-3</v>
      </c>
    </row>
    <row r="633" spans="1:16" s="1" customFormat="1" ht="119.1" customHeight="1" outlineLevel="4" x14ac:dyDescent="0.2">
      <c r="A633" s="11">
        <v>216908</v>
      </c>
      <c r="B633" s="12" t="s">
        <v>1216</v>
      </c>
      <c r="C633" s="12" t="s">
        <v>50</v>
      </c>
      <c r="D633" s="13"/>
      <c r="E633" s="14" t="s">
        <v>1217</v>
      </c>
      <c r="F633" s="15" t="s">
        <v>24</v>
      </c>
      <c r="G633" s="16"/>
      <c r="H633" s="36">
        <v>4069.8</v>
      </c>
      <c r="I633" s="36">
        <f>ROUND(H633-(H633*I2/100),2)</f>
        <v>4069.8</v>
      </c>
      <c r="J633" s="17">
        <v>7</v>
      </c>
      <c r="K633" s="18"/>
      <c r="L633" s="18"/>
      <c r="M633" s="20"/>
      <c r="N633" s="37">
        <f t="shared" si="25"/>
        <v>0</v>
      </c>
      <c r="O633" s="21">
        <v>4.5250000000000004</v>
      </c>
      <c r="P633" s="22">
        <v>4.6899999999999997E-3</v>
      </c>
    </row>
    <row r="634" spans="1:16" s="1" customFormat="1" ht="119.1" customHeight="1" outlineLevel="4" x14ac:dyDescent="0.2">
      <c r="A634" s="11">
        <v>216909</v>
      </c>
      <c r="B634" s="12" t="s">
        <v>1218</v>
      </c>
      <c r="C634" s="12" t="s">
        <v>50</v>
      </c>
      <c r="D634" s="13"/>
      <c r="E634" s="14" t="s">
        <v>1219</v>
      </c>
      <c r="F634" s="15" t="s">
        <v>24</v>
      </c>
      <c r="G634" s="16"/>
      <c r="H634" s="36">
        <v>3888.6</v>
      </c>
      <c r="I634" s="36">
        <f>ROUND(H634-(H634*I2/100),2)</f>
        <v>3888.6</v>
      </c>
      <c r="J634" s="17">
        <v>1</v>
      </c>
      <c r="K634" s="18"/>
      <c r="L634" s="18"/>
      <c r="M634" s="20"/>
      <c r="N634" s="37">
        <f t="shared" si="25"/>
        <v>0</v>
      </c>
      <c r="O634" s="21">
        <v>3.86</v>
      </c>
      <c r="P634" s="22">
        <v>7.8630000000000002E-3</v>
      </c>
    </row>
    <row r="635" spans="1:16" s="1" customFormat="1" ht="119.1" customHeight="1" outlineLevel="4" x14ac:dyDescent="0.2">
      <c r="A635" s="11">
        <v>188070</v>
      </c>
      <c r="B635" s="12" t="s">
        <v>1220</v>
      </c>
      <c r="C635" s="12" t="s">
        <v>22</v>
      </c>
      <c r="D635" s="23"/>
      <c r="E635" s="24" t="s">
        <v>1221</v>
      </c>
      <c r="F635" s="25" t="s">
        <v>24</v>
      </c>
      <c r="G635" s="26" t="s">
        <v>39</v>
      </c>
      <c r="H635" s="36">
        <v>3270.29</v>
      </c>
      <c r="I635" s="36">
        <f>H635</f>
        <v>3270.29</v>
      </c>
      <c r="J635" s="17">
        <v>6</v>
      </c>
      <c r="K635" s="18"/>
      <c r="L635" s="18"/>
      <c r="M635" s="20"/>
      <c r="N635" s="37">
        <f t="shared" si="25"/>
        <v>0</v>
      </c>
      <c r="O635" s="21">
        <v>1.22</v>
      </c>
      <c r="P635" s="22">
        <v>1.4580000000000001E-3</v>
      </c>
    </row>
    <row r="636" spans="1:16" s="1" customFormat="1" ht="119.1" customHeight="1" outlineLevel="4" x14ac:dyDescent="0.2">
      <c r="A636" s="11">
        <v>188068</v>
      </c>
      <c r="B636" s="12" t="s">
        <v>1222</v>
      </c>
      <c r="C636" s="12" t="s">
        <v>22</v>
      </c>
      <c r="D636" s="23"/>
      <c r="E636" s="24" t="s">
        <v>1223</v>
      </c>
      <c r="F636" s="25" t="s">
        <v>24</v>
      </c>
      <c r="G636" s="26" t="s">
        <v>39</v>
      </c>
      <c r="H636" s="36">
        <v>2832.02</v>
      </c>
      <c r="I636" s="36">
        <f>H636</f>
        <v>2832.02</v>
      </c>
      <c r="J636" s="17">
        <v>6</v>
      </c>
      <c r="K636" s="18"/>
      <c r="L636" s="18"/>
      <c r="M636" s="20"/>
      <c r="N636" s="37">
        <f t="shared" si="25"/>
        <v>0</v>
      </c>
      <c r="O636" s="21">
        <v>0.69</v>
      </c>
      <c r="P636" s="22">
        <v>1.2290000000000001E-3</v>
      </c>
    </row>
    <row r="637" spans="1:16" s="1" customFormat="1" ht="119.1" customHeight="1" outlineLevel="4" x14ac:dyDescent="0.2">
      <c r="A637" s="11">
        <v>181144</v>
      </c>
      <c r="B637" s="12" t="s">
        <v>1224</v>
      </c>
      <c r="C637" s="12" t="s">
        <v>22</v>
      </c>
      <c r="D637" s="13"/>
      <c r="E637" s="14" t="s">
        <v>1225</v>
      </c>
      <c r="F637" s="15" t="s">
        <v>24</v>
      </c>
      <c r="G637" s="16"/>
      <c r="H637" s="36">
        <v>1377</v>
      </c>
      <c r="I637" s="36">
        <f>ROUND(H637-(H637*I2/100),2)</f>
        <v>1377</v>
      </c>
      <c r="J637" s="17">
        <v>37</v>
      </c>
      <c r="K637" s="18"/>
      <c r="L637" s="18"/>
      <c r="M637" s="20"/>
      <c r="N637" s="37">
        <f t="shared" si="25"/>
        <v>0</v>
      </c>
      <c r="O637" s="21">
        <v>0.93799999999999994</v>
      </c>
      <c r="P637" s="22">
        <v>2.6619999999999999E-3</v>
      </c>
    </row>
    <row r="638" spans="1:16" s="1" customFormat="1" ht="119.1" customHeight="1" outlineLevel="4" x14ac:dyDescent="0.2">
      <c r="A638" s="11">
        <v>186159</v>
      </c>
      <c r="B638" s="12" t="s">
        <v>1226</v>
      </c>
      <c r="C638" s="12" t="s">
        <v>22</v>
      </c>
      <c r="D638" s="13"/>
      <c r="E638" s="14" t="s">
        <v>1227</v>
      </c>
      <c r="F638" s="15" t="s">
        <v>24</v>
      </c>
      <c r="G638" s="16"/>
      <c r="H638" s="36">
        <v>14391</v>
      </c>
      <c r="I638" s="36">
        <f>ROUND(H638-(H638*I2/100),2)</f>
        <v>14391</v>
      </c>
      <c r="J638" s="17">
        <v>3</v>
      </c>
      <c r="K638" s="18"/>
      <c r="L638" s="18"/>
      <c r="M638" s="20"/>
      <c r="N638" s="37">
        <f t="shared" si="25"/>
        <v>0</v>
      </c>
      <c r="O638" s="21">
        <v>5.25</v>
      </c>
      <c r="P638" s="22">
        <v>1.3552E-2</v>
      </c>
    </row>
    <row r="639" spans="1:16" s="1" customFormat="1" ht="119.1" customHeight="1" outlineLevel="4" x14ac:dyDescent="0.2">
      <c r="A639" s="11">
        <v>181143</v>
      </c>
      <c r="B639" s="12" t="s">
        <v>1228</v>
      </c>
      <c r="C639" s="12" t="s">
        <v>22</v>
      </c>
      <c r="D639" s="13"/>
      <c r="E639" s="14" t="s">
        <v>1229</v>
      </c>
      <c r="F639" s="15" t="s">
        <v>24</v>
      </c>
      <c r="G639" s="16"/>
      <c r="H639" s="36">
        <v>2723.9</v>
      </c>
      <c r="I639" s="36">
        <f>ROUND(H639-(H639*I2/100),2)</f>
        <v>2723.9</v>
      </c>
      <c r="J639" s="17">
        <v>10</v>
      </c>
      <c r="K639" s="18"/>
      <c r="L639" s="18"/>
      <c r="M639" s="20"/>
      <c r="N639" s="37">
        <f t="shared" si="25"/>
        <v>0</v>
      </c>
      <c r="O639" s="21">
        <v>1.6</v>
      </c>
      <c r="P639" s="22">
        <v>5.3039999999999997E-3</v>
      </c>
    </row>
    <row r="640" spans="1:16" s="1" customFormat="1" ht="119.1" customHeight="1" outlineLevel="4" x14ac:dyDescent="0.2">
      <c r="A640" s="11">
        <v>214985</v>
      </c>
      <c r="B640" s="12" t="s">
        <v>1230</v>
      </c>
      <c r="C640" s="12" t="s">
        <v>22</v>
      </c>
      <c r="D640" s="13"/>
      <c r="E640" s="14" t="s">
        <v>1231</v>
      </c>
      <c r="F640" s="15" t="s">
        <v>24</v>
      </c>
      <c r="G640" s="16"/>
      <c r="H640" s="36">
        <v>6846.3</v>
      </c>
      <c r="I640" s="36">
        <f>ROUND(H640-(H640*I2/100),2)</f>
        <v>6846.3</v>
      </c>
      <c r="J640" s="17">
        <v>32</v>
      </c>
      <c r="K640" s="18"/>
      <c r="L640" s="18"/>
      <c r="M640" s="20"/>
      <c r="N640" s="37">
        <f t="shared" si="25"/>
        <v>0</v>
      </c>
      <c r="O640" s="21">
        <v>1.5</v>
      </c>
      <c r="P640" s="22">
        <v>3.0000000000000001E-3</v>
      </c>
    </row>
    <row r="641" spans="1:16" s="1" customFormat="1" ht="119.1" customHeight="1" outlineLevel="4" x14ac:dyDescent="0.2">
      <c r="A641" s="11">
        <v>165158</v>
      </c>
      <c r="B641" s="12" t="s">
        <v>1232</v>
      </c>
      <c r="C641" s="12" t="s">
        <v>22</v>
      </c>
      <c r="D641" s="13"/>
      <c r="E641" s="14" t="s">
        <v>1233</v>
      </c>
      <c r="F641" s="15" t="s">
        <v>24</v>
      </c>
      <c r="G641" s="16"/>
      <c r="H641" s="36">
        <v>10734.3</v>
      </c>
      <c r="I641" s="36">
        <f>ROUND(H641-(H641*I2/100),2)</f>
        <v>10734.3</v>
      </c>
      <c r="J641" s="17">
        <v>24</v>
      </c>
      <c r="K641" s="18"/>
      <c r="L641" s="18"/>
      <c r="M641" s="20"/>
      <c r="N641" s="37">
        <f t="shared" si="25"/>
        <v>0</v>
      </c>
      <c r="O641" s="21">
        <v>7</v>
      </c>
      <c r="P641" s="22">
        <v>9.9900000000000006E-3</v>
      </c>
    </row>
    <row r="642" spans="1:16" s="1" customFormat="1" ht="119.1" customHeight="1" outlineLevel="4" x14ac:dyDescent="0.2">
      <c r="A642" s="11">
        <v>168105</v>
      </c>
      <c r="B642" s="12" t="s">
        <v>1234</v>
      </c>
      <c r="C642" s="12" t="s">
        <v>22</v>
      </c>
      <c r="D642" s="13"/>
      <c r="E642" s="14" t="s">
        <v>1235</v>
      </c>
      <c r="F642" s="15" t="s">
        <v>24</v>
      </c>
      <c r="G642" s="16"/>
      <c r="H642" s="36">
        <v>18237.8</v>
      </c>
      <c r="I642" s="36">
        <f>ROUND(H642-(H642*I2/100),2)</f>
        <v>18237.8</v>
      </c>
      <c r="J642" s="17">
        <v>5</v>
      </c>
      <c r="K642" s="18"/>
      <c r="L642" s="18"/>
      <c r="M642" s="20"/>
      <c r="N642" s="37">
        <f t="shared" si="25"/>
        <v>0</v>
      </c>
      <c r="O642" s="21">
        <v>13.8</v>
      </c>
      <c r="P642" s="22">
        <v>1.9418000000000001E-2</v>
      </c>
    </row>
    <row r="643" spans="1:16" s="1" customFormat="1" ht="119.1" customHeight="1" outlineLevel="4" x14ac:dyDescent="0.2">
      <c r="A643" s="11">
        <v>170988</v>
      </c>
      <c r="B643" s="12" t="s">
        <v>1236</v>
      </c>
      <c r="C643" s="12" t="s">
        <v>22</v>
      </c>
      <c r="D643" s="28"/>
      <c r="E643" s="29" t="s">
        <v>1237</v>
      </c>
      <c r="F643" s="30" t="s">
        <v>24</v>
      </c>
      <c r="G643" s="31" t="s">
        <v>209</v>
      </c>
      <c r="H643" s="36">
        <v>19232</v>
      </c>
      <c r="I643" s="36">
        <f>ROUND(H643-(H643*I2/100),2)</f>
        <v>19232</v>
      </c>
      <c r="J643" s="17">
        <v>13</v>
      </c>
      <c r="K643" s="18"/>
      <c r="L643" s="18"/>
      <c r="M643" s="20"/>
      <c r="N643" s="37">
        <f t="shared" si="25"/>
        <v>0</v>
      </c>
      <c r="O643" s="21">
        <v>13.7</v>
      </c>
      <c r="P643" s="22">
        <v>3.6801E-2</v>
      </c>
    </row>
    <row r="644" spans="1:16" s="1" customFormat="1" ht="119.1" customHeight="1" outlineLevel="4" x14ac:dyDescent="0.2">
      <c r="A644" s="11">
        <v>219982</v>
      </c>
      <c r="B644" s="12" t="s">
        <v>1238</v>
      </c>
      <c r="C644" s="12" t="s">
        <v>50</v>
      </c>
      <c r="D644" s="28"/>
      <c r="E644" s="29" t="s">
        <v>1239</v>
      </c>
      <c r="F644" s="30" t="s">
        <v>24</v>
      </c>
      <c r="G644" s="31" t="s">
        <v>209</v>
      </c>
      <c r="H644" s="36">
        <v>222.1</v>
      </c>
      <c r="I644" s="36">
        <f>ROUND(H644-(H644*I2/100),2)</f>
        <v>222.1</v>
      </c>
      <c r="J644" s="17">
        <v>680</v>
      </c>
      <c r="K644" s="18"/>
      <c r="L644" s="18"/>
      <c r="M644" s="20"/>
      <c r="N644" s="37">
        <f t="shared" si="25"/>
        <v>0</v>
      </c>
      <c r="O644" s="21">
        <v>0.215</v>
      </c>
      <c r="P644" s="22">
        <v>1.0139999999999999E-3</v>
      </c>
    </row>
    <row r="645" spans="1:16" s="1" customFormat="1" ht="119.1" customHeight="1" outlineLevel="4" x14ac:dyDescent="0.2">
      <c r="A645" s="11">
        <v>217026</v>
      </c>
      <c r="B645" s="12" t="s">
        <v>1240</v>
      </c>
      <c r="C645" s="12" t="s">
        <v>50</v>
      </c>
      <c r="D645" s="13"/>
      <c r="E645" s="14" t="s">
        <v>1241</v>
      </c>
      <c r="F645" s="15" t="s">
        <v>24</v>
      </c>
      <c r="G645" s="16"/>
      <c r="H645" s="36">
        <v>12445.4</v>
      </c>
      <c r="I645" s="36">
        <f>ROUND(H645-(H645*I2/100),2)</f>
        <v>12445.4</v>
      </c>
      <c r="J645" s="17">
        <v>5</v>
      </c>
      <c r="K645" s="18"/>
      <c r="L645" s="18"/>
      <c r="M645" s="20"/>
      <c r="N645" s="37">
        <f t="shared" si="25"/>
        <v>0</v>
      </c>
      <c r="O645" s="21">
        <v>11.5</v>
      </c>
      <c r="P645" s="22">
        <v>2.7550000000000001E-3</v>
      </c>
    </row>
    <row r="646" spans="1:16" s="1" customFormat="1" ht="119.1" customHeight="1" outlineLevel="4" x14ac:dyDescent="0.2">
      <c r="A646" s="11">
        <v>189592</v>
      </c>
      <c r="B646" s="12" t="s">
        <v>1242</v>
      </c>
      <c r="C646" s="12" t="s">
        <v>22</v>
      </c>
      <c r="D646" s="13"/>
      <c r="E646" s="14" t="s">
        <v>1243</v>
      </c>
      <c r="F646" s="15" t="s">
        <v>24</v>
      </c>
      <c r="G646" s="16"/>
      <c r="H646" s="36">
        <v>786</v>
      </c>
      <c r="I646" s="36">
        <f>ROUND(H646-(H646*I2/100),2)</f>
        <v>786</v>
      </c>
      <c r="J646" s="17">
        <v>239</v>
      </c>
      <c r="K646" s="18"/>
      <c r="L646" s="18"/>
      <c r="M646" s="20"/>
      <c r="N646" s="37">
        <f t="shared" si="25"/>
        <v>0</v>
      </c>
      <c r="O646" s="21">
        <v>0.875</v>
      </c>
      <c r="P646" s="22">
        <v>2.624E-3</v>
      </c>
    </row>
    <row r="647" spans="1:16" s="1" customFormat="1" ht="119.1" customHeight="1" outlineLevel="4" x14ac:dyDescent="0.2">
      <c r="A647" s="11">
        <v>181063</v>
      </c>
      <c r="B647" s="12" t="s">
        <v>1244</v>
      </c>
      <c r="C647" s="12" t="s">
        <v>22</v>
      </c>
      <c r="D647" s="13"/>
      <c r="E647" s="14" t="s">
        <v>1245</v>
      </c>
      <c r="F647" s="15" t="s">
        <v>24</v>
      </c>
      <c r="G647" s="16"/>
      <c r="H647" s="36">
        <v>350.7</v>
      </c>
      <c r="I647" s="36">
        <f>ROUND(H647-(H647*I2/100),2)</f>
        <v>350.7</v>
      </c>
      <c r="J647" s="17">
        <v>72</v>
      </c>
      <c r="K647" s="18"/>
      <c r="L647" s="18"/>
      <c r="M647" s="20"/>
      <c r="N647" s="37">
        <f t="shared" si="25"/>
        <v>0</v>
      </c>
      <c r="O647" s="21">
        <v>0.375</v>
      </c>
      <c r="P647" s="22">
        <v>1.2359999999999999E-3</v>
      </c>
    </row>
    <row r="648" spans="1:16" s="1" customFormat="1" ht="119.1" customHeight="1" outlineLevel="4" x14ac:dyDescent="0.2">
      <c r="A648" s="11">
        <v>186174</v>
      </c>
      <c r="B648" s="12" t="s">
        <v>1246</v>
      </c>
      <c r="C648" s="12" t="s">
        <v>22</v>
      </c>
      <c r="D648" s="13"/>
      <c r="E648" s="14" t="s">
        <v>1247</v>
      </c>
      <c r="F648" s="15" t="s">
        <v>24</v>
      </c>
      <c r="G648" s="16"/>
      <c r="H648" s="36">
        <v>432.7</v>
      </c>
      <c r="I648" s="36">
        <f>ROUND(H648-(H648*I2/100),2)</f>
        <v>432.7</v>
      </c>
      <c r="J648" s="17">
        <v>292</v>
      </c>
      <c r="K648" s="18"/>
      <c r="L648" s="18"/>
      <c r="M648" s="20"/>
      <c r="N648" s="37">
        <f t="shared" si="25"/>
        <v>0</v>
      </c>
      <c r="O648" s="21">
        <v>0.46899999999999997</v>
      </c>
      <c r="P648" s="22">
        <v>1.382E-3</v>
      </c>
    </row>
    <row r="649" spans="1:16" s="1" customFormat="1" ht="119.1" customHeight="1" outlineLevel="4" x14ac:dyDescent="0.2">
      <c r="A649" s="11">
        <v>197292</v>
      </c>
      <c r="B649" s="12" t="s">
        <v>1248</v>
      </c>
      <c r="C649" s="12" t="s">
        <v>50</v>
      </c>
      <c r="D649" s="13"/>
      <c r="E649" s="14" t="s">
        <v>1249</v>
      </c>
      <c r="F649" s="15" t="s">
        <v>24</v>
      </c>
      <c r="G649" s="16"/>
      <c r="H649" s="36">
        <v>85.4</v>
      </c>
      <c r="I649" s="36">
        <f>ROUND(H649-(H649*I2/100),2)</f>
        <v>85.4</v>
      </c>
      <c r="J649" s="17">
        <v>274</v>
      </c>
      <c r="K649" s="18"/>
      <c r="L649" s="18"/>
      <c r="M649" s="20"/>
      <c r="N649" s="37">
        <f t="shared" si="25"/>
        <v>0</v>
      </c>
      <c r="O649" s="21">
        <v>0.38300000000000001</v>
      </c>
      <c r="P649" s="22">
        <v>4.64E-4</v>
      </c>
    </row>
    <row r="650" spans="1:16" s="1" customFormat="1" ht="119.1" customHeight="1" outlineLevel="4" x14ac:dyDescent="0.2">
      <c r="A650" s="11">
        <v>196139</v>
      </c>
      <c r="B650" s="12" t="s">
        <v>1250</v>
      </c>
      <c r="C650" s="12" t="s">
        <v>50</v>
      </c>
      <c r="D650" s="13"/>
      <c r="E650" s="14" t="s">
        <v>1251</v>
      </c>
      <c r="F650" s="15" t="s">
        <v>24</v>
      </c>
      <c r="G650" s="16"/>
      <c r="H650" s="36">
        <v>291.5</v>
      </c>
      <c r="I650" s="36">
        <f>ROUND(H650-(H650*I2/100),2)</f>
        <v>291.5</v>
      </c>
      <c r="J650" s="17">
        <v>163</v>
      </c>
      <c r="K650" s="18"/>
      <c r="L650" s="18"/>
      <c r="M650" s="20"/>
      <c r="N650" s="37">
        <f t="shared" si="25"/>
        <v>0</v>
      </c>
      <c r="O650" s="21">
        <v>0.35399999999999998</v>
      </c>
      <c r="P650" s="22">
        <v>1.2359999999999999E-3</v>
      </c>
    </row>
    <row r="651" spans="1:16" s="1" customFormat="1" ht="119.1" customHeight="1" outlineLevel="4" x14ac:dyDescent="0.2">
      <c r="A651" s="11">
        <v>186175</v>
      </c>
      <c r="B651" s="12" t="s">
        <v>1252</v>
      </c>
      <c r="C651" s="12" t="s">
        <v>22</v>
      </c>
      <c r="D651" s="13"/>
      <c r="E651" s="14" t="s">
        <v>1253</v>
      </c>
      <c r="F651" s="15" t="s">
        <v>24</v>
      </c>
      <c r="G651" s="16"/>
      <c r="H651" s="36">
        <v>467.7</v>
      </c>
      <c r="I651" s="36">
        <f>ROUND(H651-(H651*I2/100),2)</f>
        <v>467.7</v>
      </c>
      <c r="J651" s="17">
        <v>38</v>
      </c>
      <c r="K651" s="18"/>
      <c r="L651" s="18"/>
      <c r="M651" s="20"/>
      <c r="N651" s="37">
        <f t="shared" si="25"/>
        <v>0</v>
      </c>
      <c r="O651" s="21">
        <v>0.45800000000000002</v>
      </c>
      <c r="P651" s="22">
        <v>1.382E-3</v>
      </c>
    </row>
    <row r="652" spans="1:16" s="1" customFormat="1" ht="119.1" customHeight="1" outlineLevel="4" x14ac:dyDescent="0.2">
      <c r="A652" s="11">
        <v>178146</v>
      </c>
      <c r="B652" s="12" t="s">
        <v>1254</v>
      </c>
      <c r="C652" s="12" t="s">
        <v>22</v>
      </c>
      <c r="D652" s="13"/>
      <c r="E652" s="14" t="s">
        <v>1255</v>
      </c>
      <c r="F652" s="15" t="s">
        <v>24</v>
      </c>
      <c r="G652" s="16"/>
      <c r="H652" s="36">
        <v>385.5</v>
      </c>
      <c r="I652" s="36">
        <f>ROUND(H652-(H652*I2/100),2)</f>
        <v>385.5</v>
      </c>
      <c r="J652" s="17">
        <v>544</v>
      </c>
      <c r="K652" s="18"/>
      <c r="L652" s="18"/>
      <c r="M652" s="20"/>
      <c r="N652" s="37">
        <f t="shared" si="25"/>
        <v>0</v>
      </c>
      <c r="O652" s="21">
        <v>0.35799999999999998</v>
      </c>
      <c r="P652" s="22">
        <v>1.1039999999999999E-3</v>
      </c>
    </row>
    <row r="653" spans="1:16" s="1" customFormat="1" ht="119.1" customHeight="1" outlineLevel="4" x14ac:dyDescent="0.2">
      <c r="A653" s="11">
        <v>190257</v>
      </c>
      <c r="B653" s="12" t="s">
        <v>1256</v>
      </c>
      <c r="C653" s="12" t="s">
        <v>22</v>
      </c>
      <c r="D653" s="13"/>
      <c r="E653" s="14" t="s">
        <v>1257</v>
      </c>
      <c r="F653" s="15" t="s">
        <v>24</v>
      </c>
      <c r="G653" s="16"/>
      <c r="H653" s="36">
        <v>455.1</v>
      </c>
      <c r="I653" s="36">
        <f>ROUND(H653-(H653*I2/100),2)</f>
        <v>455.1</v>
      </c>
      <c r="J653" s="17">
        <v>730</v>
      </c>
      <c r="K653" s="18"/>
      <c r="L653" s="18"/>
      <c r="M653" s="20"/>
      <c r="N653" s="37">
        <f t="shared" si="25"/>
        <v>0</v>
      </c>
      <c r="O653" s="21">
        <v>0.44</v>
      </c>
      <c r="P653" s="22">
        <v>8.2100000000000001E-4</v>
      </c>
    </row>
    <row r="654" spans="1:16" s="1" customFormat="1" ht="119.1" customHeight="1" outlineLevel="4" x14ac:dyDescent="0.2">
      <c r="A654" s="11">
        <v>165217</v>
      </c>
      <c r="B654" s="12" t="s">
        <v>1258</v>
      </c>
      <c r="C654" s="12" t="s">
        <v>22</v>
      </c>
      <c r="D654" s="13"/>
      <c r="E654" s="14" t="s">
        <v>1259</v>
      </c>
      <c r="F654" s="15" t="s">
        <v>24</v>
      </c>
      <c r="G654" s="16"/>
      <c r="H654" s="36">
        <v>870.5</v>
      </c>
      <c r="I654" s="36">
        <f>ROUND(H654-(H654*I2/100),2)</f>
        <v>870.5</v>
      </c>
      <c r="J654" s="17">
        <v>156</v>
      </c>
      <c r="K654" s="18"/>
      <c r="L654" s="18"/>
      <c r="M654" s="20"/>
      <c r="N654" s="37">
        <f t="shared" si="25"/>
        <v>0</v>
      </c>
      <c r="O654" s="21">
        <v>0.89</v>
      </c>
      <c r="P654" s="22">
        <v>2.0960000000000002E-3</v>
      </c>
    </row>
    <row r="655" spans="1:16" s="1" customFormat="1" ht="119.1" customHeight="1" outlineLevel="4" x14ac:dyDescent="0.2">
      <c r="A655" s="11">
        <v>178143</v>
      </c>
      <c r="B655" s="12" t="s">
        <v>1260</v>
      </c>
      <c r="C655" s="12" t="s">
        <v>22</v>
      </c>
      <c r="D655" s="13"/>
      <c r="E655" s="14" t="s">
        <v>1261</v>
      </c>
      <c r="F655" s="15" t="s">
        <v>24</v>
      </c>
      <c r="G655" s="16"/>
      <c r="H655" s="36">
        <v>1787.6</v>
      </c>
      <c r="I655" s="36">
        <f>ROUND(H655-(H655*I2/100),2)</f>
        <v>1787.6</v>
      </c>
      <c r="J655" s="17">
        <v>175</v>
      </c>
      <c r="K655" s="18"/>
      <c r="L655" s="18"/>
      <c r="M655" s="20"/>
      <c r="N655" s="37">
        <f t="shared" si="25"/>
        <v>0</v>
      </c>
      <c r="O655" s="21">
        <v>1.1200000000000001</v>
      </c>
      <c r="P655" s="22">
        <v>1.681E-3</v>
      </c>
    </row>
    <row r="656" spans="1:16" s="1" customFormat="1" ht="119.1" customHeight="1" outlineLevel="4" x14ac:dyDescent="0.2">
      <c r="A656" s="11">
        <v>216915</v>
      </c>
      <c r="B656" s="12" t="s">
        <v>1262</v>
      </c>
      <c r="C656" s="12" t="s">
        <v>50</v>
      </c>
      <c r="D656" s="13"/>
      <c r="E656" s="14" t="s">
        <v>1263</v>
      </c>
      <c r="F656" s="15" t="s">
        <v>24</v>
      </c>
      <c r="G656" s="16"/>
      <c r="H656" s="36">
        <v>2734.2</v>
      </c>
      <c r="I656" s="36">
        <f>ROUND(H656-(H656*I2/100),2)</f>
        <v>2734.2</v>
      </c>
      <c r="J656" s="17">
        <v>6</v>
      </c>
      <c r="K656" s="18"/>
      <c r="L656" s="18"/>
      <c r="M656" s="20"/>
      <c r="N656" s="37">
        <f t="shared" si="25"/>
        <v>0</v>
      </c>
      <c r="O656" s="21">
        <v>3.1749999999999998</v>
      </c>
      <c r="P656" s="22">
        <v>2.918E-3</v>
      </c>
    </row>
    <row r="657" spans="1:16" s="1" customFormat="1" ht="119.1" customHeight="1" outlineLevel="4" x14ac:dyDescent="0.2">
      <c r="A657" s="11">
        <v>183338</v>
      </c>
      <c r="B657" s="12" t="s">
        <v>1264</v>
      </c>
      <c r="C657" s="12" t="s">
        <v>22</v>
      </c>
      <c r="D657" s="13"/>
      <c r="E657" s="14" t="s">
        <v>1265</v>
      </c>
      <c r="F657" s="15" t="s">
        <v>24</v>
      </c>
      <c r="G657" s="16"/>
      <c r="H657" s="36">
        <v>612.9</v>
      </c>
      <c r="I657" s="36">
        <f>ROUND(H657-(H657*I2/100),2)</f>
        <v>612.9</v>
      </c>
      <c r="J657" s="17">
        <v>61</v>
      </c>
      <c r="K657" s="18"/>
      <c r="L657" s="18"/>
      <c r="M657" s="20"/>
      <c r="N657" s="37">
        <f t="shared" si="25"/>
        <v>0</v>
      </c>
      <c r="O657" s="21">
        <v>0.45300000000000001</v>
      </c>
      <c r="P657" s="22">
        <v>5.3600000000000002E-4</v>
      </c>
    </row>
    <row r="658" spans="1:16" s="1" customFormat="1" ht="119.1" customHeight="1" outlineLevel="4" x14ac:dyDescent="0.2">
      <c r="A658" s="11">
        <v>216917</v>
      </c>
      <c r="B658" s="12" t="s">
        <v>1266</v>
      </c>
      <c r="C658" s="12" t="s">
        <v>50</v>
      </c>
      <c r="D658" s="13"/>
      <c r="E658" s="14" t="s">
        <v>1267</v>
      </c>
      <c r="F658" s="15" t="s">
        <v>24</v>
      </c>
      <c r="G658" s="16"/>
      <c r="H658" s="36">
        <v>881.8</v>
      </c>
      <c r="I658" s="36">
        <f>ROUND(H658-(H658*I2/100),2)</f>
        <v>881.8</v>
      </c>
      <c r="J658" s="17">
        <v>4</v>
      </c>
      <c r="K658" s="18"/>
      <c r="L658" s="18"/>
      <c r="M658" s="20"/>
      <c r="N658" s="37">
        <f t="shared" si="25"/>
        <v>0</v>
      </c>
      <c r="O658" s="21">
        <v>0.86699999999999999</v>
      </c>
      <c r="P658" s="22">
        <v>1.64E-3</v>
      </c>
    </row>
    <row r="659" spans="1:16" s="1" customFormat="1" ht="119.1" customHeight="1" outlineLevel="4" x14ac:dyDescent="0.2">
      <c r="A659" s="11">
        <v>216918</v>
      </c>
      <c r="B659" s="12" t="s">
        <v>1268</v>
      </c>
      <c r="C659" s="12" t="s">
        <v>50</v>
      </c>
      <c r="D659" s="13"/>
      <c r="E659" s="14" t="s">
        <v>1269</v>
      </c>
      <c r="F659" s="15" t="s">
        <v>24</v>
      </c>
      <c r="G659" s="16"/>
      <c r="H659" s="36">
        <v>1066.5</v>
      </c>
      <c r="I659" s="36">
        <f>ROUND(H659-(H659*I2/100),2)</f>
        <v>1066.5</v>
      </c>
      <c r="J659" s="17">
        <v>12</v>
      </c>
      <c r="K659" s="18"/>
      <c r="L659" s="18"/>
      <c r="M659" s="20"/>
      <c r="N659" s="37">
        <f t="shared" ref="N659:N690" si="26">I659*M659</f>
        <v>0</v>
      </c>
      <c r="O659" s="21">
        <v>0.98299999999999998</v>
      </c>
      <c r="P659" s="22">
        <v>2.3999999999999998E-3</v>
      </c>
    </row>
    <row r="660" spans="1:16" s="1" customFormat="1" ht="119.1" customHeight="1" outlineLevel="4" x14ac:dyDescent="0.2">
      <c r="A660" s="11">
        <v>216919</v>
      </c>
      <c r="B660" s="12" t="s">
        <v>1270</v>
      </c>
      <c r="C660" s="12" t="s">
        <v>50</v>
      </c>
      <c r="D660" s="13"/>
      <c r="E660" s="14" t="s">
        <v>1271</v>
      </c>
      <c r="F660" s="15" t="s">
        <v>24</v>
      </c>
      <c r="G660" s="16"/>
      <c r="H660" s="36">
        <v>830.5</v>
      </c>
      <c r="I660" s="36">
        <f>ROUND(H660-(H660*I2/100),2)</f>
        <v>830.5</v>
      </c>
      <c r="J660" s="17">
        <v>26</v>
      </c>
      <c r="K660" s="18"/>
      <c r="L660" s="18"/>
      <c r="M660" s="20"/>
      <c r="N660" s="37">
        <f t="shared" si="26"/>
        <v>0</v>
      </c>
      <c r="O660" s="21">
        <v>0.78300000000000003</v>
      </c>
      <c r="P660" s="22">
        <v>1.8799999999999999E-3</v>
      </c>
    </row>
    <row r="661" spans="1:16" s="1" customFormat="1" ht="119.1" customHeight="1" outlineLevel="4" x14ac:dyDescent="0.2">
      <c r="A661" s="11">
        <v>151366</v>
      </c>
      <c r="B661" s="12" t="s">
        <v>1272</v>
      </c>
      <c r="C661" s="12" t="s">
        <v>22</v>
      </c>
      <c r="D661" s="13"/>
      <c r="E661" s="14" t="s">
        <v>1273</v>
      </c>
      <c r="F661" s="15" t="s">
        <v>24</v>
      </c>
      <c r="G661" s="16"/>
      <c r="H661" s="36">
        <v>928.7</v>
      </c>
      <c r="I661" s="36">
        <f>ROUND(H661-(H661*I2/100),2)</f>
        <v>928.7</v>
      </c>
      <c r="J661" s="17">
        <v>42</v>
      </c>
      <c r="K661" s="18"/>
      <c r="L661" s="18"/>
      <c r="M661" s="20"/>
      <c r="N661" s="37">
        <f t="shared" si="26"/>
        <v>0</v>
      </c>
      <c r="O661" s="21">
        <v>0.78</v>
      </c>
      <c r="P661" s="22">
        <v>2.0309999999999998E-3</v>
      </c>
    </row>
    <row r="662" spans="1:16" s="1" customFormat="1" ht="119.1" customHeight="1" outlineLevel="4" x14ac:dyDescent="0.2">
      <c r="A662" s="11">
        <v>178142</v>
      </c>
      <c r="B662" s="12" t="s">
        <v>1274</v>
      </c>
      <c r="C662" s="12" t="s">
        <v>22</v>
      </c>
      <c r="D662" s="13"/>
      <c r="E662" s="14" t="s">
        <v>1275</v>
      </c>
      <c r="F662" s="15" t="s">
        <v>24</v>
      </c>
      <c r="G662" s="16"/>
      <c r="H662" s="36">
        <v>5453.3</v>
      </c>
      <c r="I662" s="36">
        <f>ROUND(H662-(H662*I2/100),2)</f>
        <v>5453.3</v>
      </c>
      <c r="J662" s="17">
        <v>2</v>
      </c>
      <c r="K662" s="18"/>
      <c r="L662" s="18"/>
      <c r="M662" s="20"/>
      <c r="N662" s="37">
        <f t="shared" si="26"/>
        <v>0</v>
      </c>
      <c r="O662" s="21">
        <v>3.7250000000000001</v>
      </c>
      <c r="P662" s="22">
        <v>1.1731999999999999E-2</v>
      </c>
    </row>
    <row r="663" spans="1:16" s="1" customFormat="1" ht="119.1" customHeight="1" outlineLevel="4" x14ac:dyDescent="0.2">
      <c r="A663" s="11">
        <v>183339</v>
      </c>
      <c r="B663" s="12" t="s">
        <v>1276</v>
      </c>
      <c r="C663" s="12" t="s">
        <v>22</v>
      </c>
      <c r="D663" s="13"/>
      <c r="E663" s="14" t="s">
        <v>1277</v>
      </c>
      <c r="F663" s="15" t="s">
        <v>24</v>
      </c>
      <c r="G663" s="16"/>
      <c r="H663" s="36">
        <v>1216.2</v>
      </c>
      <c r="I663" s="36">
        <f>ROUND(H663-(H663*I2/100),2)</f>
        <v>1216.2</v>
      </c>
      <c r="J663" s="17">
        <v>77</v>
      </c>
      <c r="K663" s="18"/>
      <c r="L663" s="18"/>
      <c r="M663" s="20"/>
      <c r="N663" s="37">
        <f t="shared" si="26"/>
        <v>0</v>
      </c>
      <c r="O663" s="21">
        <v>0.67900000000000005</v>
      </c>
      <c r="P663" s="22">
        <v>7.3700000000000002E-4</v>
      </c>
    </row>
    <row r="664" spans="1:16" s="1" customFormat="1" ht="119.1" customHeight="1" outlineLevel="4" x14ac:dyDescent="0.2">
      <c r="A664" s="11">
        <v>210069</v>
      </c>
      <c r="B664" s="12" t="s">
        <v>1278</v>
      </c>
      <c r="C664" s="12" t="s">
        <v>22</v>
      </c>
      <c r="D664" s="13"/>
      <c r="E664" s="14" t="s">
        <v>1279</v>
      </c>
      <c r="F664" s="15" t="s">
        <v>24</v>
      </c>
      <c r="G664" s="16"/>
      <c r="H664" s="36">
        <v>3220.6</v>
      </c>
      <c r="I664" s="36">
        <f>ROUND(H664-(H664*I2/100),2)</f>
        <v>3220.6</v>
      </c>
      <c r="J664" s="17">
        <v>34</v>
      </c>
      <c r="K664" s="18"/>
      <c r="L664" s="18"/>
      <c r="M664" s="20"/>
      <c r="N664" s="37">
        <f t="shared" si="26"/>
        <v>0</v>
      </c>
      <c r="O664" s="21">
        <v>1.375</v>
      </c>
      <c r="P664" s="22">
        <v>2.1299999999999999E-3</v>
      </c>
    </row>
    <row r="665" spans="1:16" s="1" customFormat="1" ht="119.1" customHeight="1" outlineLevel="4" x14ac:dyDescent="0.2">
      <c r="A665" s="11">
        <v>208669</v>
      </c>
      <c r="B665" s="12" t="s">
        <v>1280</v>
      </c>
      <c r="C665" s="12" t="s">
        <v>22</v>
      </c>
      <c r="D665" s="13"/>
      <c r="E665" s="14" t="s">
        <v>1281</v>
      </c>
      <c r="F665" s="15" t="s">
        <v>24</v>
      </c>
      <c r="G665" s="16"/>
      <c r="H665" s="36">
        <v>3440.4</v>
      </c>
      <c r="I665" s="36">
        <f>ROUND(H665-(H665*I2/100),2)</f>
        <v>3440.4</v>
      </c>
      <c r="J665" s="17">
        <v>34</v>
      </c>
      <c r="K665" s="18"/>
      <c r="L665" s="18"/>
      <c r="M665" s="20"/>
      <c r="N665" s="37">
        <f t="shared" si="26"/>
        <v>0</v>
      </c>
      <c r="O665" s="21">
        <v>2.4</v>
      </c>
      <c r="P665" s="22">
        <v>3.5000000000000001E-3</v>
      </c>
    </row>
    <row r="666" spans="1:16" s="1" customFormat="1" ht="119.1" customHeight="1" outlineLevel="4" x14ac:dyDescent="0.2">
      <c r="A666" s="11">
        <v>216920</v>
      </c>
      <c r="B666" s="12" t="s">
        <v>1282</v>
      </c>
      <c r="C666" s="12" t="s">
        <v>50</v>
      </c>
      <c r="D666" s="13"/>
      <c r="E666" s="14" t="s">
        <v>1283</v>
      </c>
      <c r="F666" s="15" t="s">
        <v>24</v>
      </c>
      <c r="G666" s="16"/>
      <c r="H666" s="36">
        <v>1413.4</v>
      </c>
      <c r="I666" s="36">
        <f>ROUND(H666-(H666*I2/100),2)</f>
        <v>1413.4</v>
      </c>
      <c r="J666" s="17">
        <v>9</v>
      </c>
      <c r="K666" s="18"/>
      <c r="L666" s="18"/>
      <c r="M666" s="20"/>
      <c r="N666" s="37">
        <f t="shared" si="26"/>
        <v>0</v>
      </c>
      <c r="O666" s="21">
        <v>0.90900000000000003</v>
      </c>
      <c r="P666" s="22">
        <v>1.258E-3</v>
      </c>
    </row>
    <row r="667" spans="1:16" s="1" customFormat="1" ht="119.1" customHeight="1" outlineLevel="4" x14ac:dyDescent="0.2">
      <c r="A667" s="11">
        <v>186165</v>
      </c>
      <c r="B667" s="12" t="s">
        <v>1284</v>
      </c>
      <c r="C667" s="12" t="s">
        <v>22</v>
      </c>
      <c r="D667" s="13"/>
      <c r="E667" s="14" t="s">
        <v>1285</v>
      </c>
      <c r="F667" s="15" t="s">
        <v>24</v>
      </c>
      <c r="G667" s="16"/>
      <c r="H667" s="36">
        <v>3355.5</v>
      </c>
      <c r="I667" s="36">
        <f>ROUND(H667-(H667*I2/100),2)</f>
        <v>3355.5</v>
      </c>
      <c r="J667" s="17">
        <v>4</v>
      </c>
      <c r="K667" s="18"/>
      <c r="L667" s="18"/>
      <c r="M667" s="20"/>
      <c r="N667" s="37">
        <f t="shared" si="26"/>
        <v>0</v>
      </c>
      <c r="O667" s="21">
        <v>3.125</v>
      </c>
      <c r="P667" s="22">
        <v>1.197E-2</v>
      </c>
    </row>
    <row r="668" spans="1:16" s="1" customFormat="1" ht="119.1" customHeight="1" outlineLevel="4" x14ac:dyDescent="0.2">
      <c r="A668" s="11">
        <v>216922</v>
      </c>
      <c r="B668" s="12" t="s">
        <v>1286</v>
      </c>
      <c r="C668" s="12" t="s">
        <v>50</v>
      </c>
      <c r="D668" s="13"/>
      <c r="E668" s="14" t="s">
        <v>1287</v>
      </c>
      <c r="F668" s="15" t="s">
        <v>24</v>
      </c>
      <c r="G668" s="16"/>
      <c r="H668" s="36">
        <v>1956.9</v>
      </c>
      <c r="I668" s="36">
        <f>ROUND(H668-(H668*I2/100),2)</f>
        <v>1956.9</v>
      </c>
      <c r="J668" s="17">
        <v>7</v>
      </c>
      <c r="K668" s="18"/>
      <c r="L668" s="18"/>
      <c r="M668" s="20"/>
      <c r="N668" s="37">
        <f t="shared" si="26"/>
        <v>0</v>
      </c>
      <c r="O668" s="21">
        <v>2.5</v>
      </c>
      <c r="P668" s="22">
        <v>3.3119999999999998E-3</v>
      </c>
    </row>
    <row r="669" spans="1:16" s="1" customFormat="1" ht="119.1" customHeight="1" outlineLevel="4" x14ac:dyDescent="0.2">
      <c r="A669" s="11">
        <v>205892</v>
      </c>
      <c r="B669" s="12" t="s">
        <v>1288</v>
      </c>
      <c r="C669" s="12" t="s">
        <v>50</v>
      </c>
      <c r="D669" s="13"/>
      <c r="E669" s="14" t="s">
        <v>1289</v>
      </c>
      <c r="F669" s="15" t="s">
        <v>24</v>
      </c>
      <c r="G669" s="16"/>
      <c r="H669" s="36">
        <v>1107.0999999999999</v>
      </c>
      <c r="I669" s="36">
        <f>ROUND(H669-(H669*I2/100),2)</f>
        <v>1107.0999999999999</v>
      </c>
      <c r="J669" s="17">
        <v>18</v>
      </c>
      <c r="K669" s="18"/>
      <c r="L669" s="18"/>
      <c r="M669" s="20"/>
      <c r="N669" s="37">
        <f t="shared" si="26"/>
        <v>0</v>
      </c>
      <c r="O669" s="21">
        <v>2E-3</v>
      </c>
      <c r="P669" s="22">
        <v>1.689E-3</v>
      </c>
    </row>
    <row r="670" spans="1:16" s="1" customFormat="1" ht="119.1" customHeight="1" outlineLevel="4" x14ac:dyDescent="0.2">
      <c r="A670" s="11">
        <v>216931</v>
      </c>
      <c r="B670" s="12" t="s">
        <v>1290</v>
      </c>
      <c r="C670" s="12" t="s">
        <v>50</v>
      </c>
      <c r="D670" s="13"/>
      <c r="E670" s="14" t="s">
        <v>1291</v>
      </c>
      <c r="F670" s="15" t="s">
        <v>24</v>
      </c>
      <c r="G670" s="16"/>
      <c r="H670" s="36">
        <v>1651.2</v>
      </c>
      <c r="I670" s="36">
        <f>ROUND(H670-(H670*I2/100),2)</f>
        <v>1651.2</v>
      </c>
      <c r="J670" s="17">
        <v>7</v>
      </c>
      <c r="K670" s="18"/>
      <c r="L670" s="18"/>
      <c r="M670" s="20"/>
      <c r="N670" s="37">
        <f t="shared" si="26"/>
        <v>0</v>
      </c>
      <c r="O670" s="21">
        <v>1.9379999999999999</v>
      </c>
      <c r="P670" s="22">
        <v>1.931E-3</v>
      </c>
    </row>
    <row r="671" spans="1:16" s="1" customFormat="1" ht="119.1" customHeight="1" outlineLevel="4" x14ac:dyDescent="0.2">
      <c r="A671" s="11">
        <v>217495</v>
      </c>
      <c r="B671" s="12" t="s">
        <v>1292</v>
      </c>
      <c r="C671" s="12" t="s">
        <v>50</v>
      </c>
      <c r="D671" s="13"/>
      <c r="E671" s="14" t="s">
        <v>1293</v>
      </c>
      <c r="F671" s="15" t="s">
        <v>113</v>
      </c>
      <c r="G671" s="16"/>
      <c r="H671" s="36">
        <v>362.5</v>
      </c>
      <c r="I671" s="36">
        <f>ROUND(H671-(H671*I2/100),2)</f>
        <v>362.5</v>
      </c>
      <c r="J671" s="17">
        <v>10</v>
      </c>
      <c r="K671" s="18"/>
      <c r="L671" s="18"/>
      <c r="M671" s="20"/>
      <c r="N671" s="37">
        <f t="shared" si="26"/>
        <v>0</v>
      </c>
      <c r="O671" s="21">
        <v>0.5</v>
      </c>
      <c r="P671" s="22">
        <v>1E-3</v>
      </c>
    </row>
    <row r="672" spans="1:16" s="1" customFormat="1" ht="119.1" customHeight="1" outlineLevel="4" x14ac:dyDescent="0.2">
      <c r="A672" s="11">
        <v>216936</v>
      </c>
      <c r="B672" s="12" t="s">
        <v>1294</v>
      </c>
      <c r="C672" s="12" t="s">
        <v>50</v>
      </c>
      <c r="D672" s="13"/>
      <c r="E672" s="14" t="s">
        <v>1295</v>
      </c>
      <c r="F672" s="15" t="s">
        <v>24</v>
      </c>
      <c r="G672" s="16"/>
      <c r="H672" s="36">
        <v>1697.4</v>
      </c>
      <c r="I672" s="36">
        <f>ROUND(H672-(H672*I2/100),2)</f>
        <v>1697.4</v>
      </c>
      <c r="J672" s="17">
        <v>41</v>
      </c>
      <c r="K672" s="18"/>
      <c r="L672" s="18"/>
      <c r="M672" s="20"/>
      <c r="N672" s="37">
        <f t="shared" si="26"/>
        <v>0</v>
      </c>
      <c r="O672" s="21">
        <v>1.8</v>
      </c>
      <c r="P672" s="22">
        <v>2.7850000000000001E-3</v>
      </c>
    </row>
    <row r="673" spans="1:16" s="1" customFormat="1" ht="119.1" customHeight="1" outlineLevel="4" x14ac:dyDescent="0.2">
      <c r="A673" s="11">
        <v>216938</v>
      </c>
      <c r="B673" s="12" t="s">
        <v>1296</v>
      </c>
      <c r="C673" s="12" t="s">
        <v>50</v>
      </c>
      <c r="D673" s="13"/>
      <c r="E673" s="14" t="s">
        <v>1297</v>
      </c>
      <c r="F673" s="15" t="s">
        <v>24</v>
      </c>
      <c r="G673" s="16"/>
      <c r="H673" s="36">
        <v>357.1</v>
      </c>
      <c r="I673" s="36">
        <f>ROUND(H673-(H673*I2/100),2)</f>
        <v>357.1</v>
      </c>
      <c r="J673" s="17">
        <v>13</v>
      </c>
      <c r="K673" s="18"/>
      <c r="L673" s="18"/>
      <c r="M673" s="20"/>
      <c r="N673" s="37">
        <f t="shared" si="26"/>
        <v>0</v>
      </c>
      <c r="O673" s="21">
        <v>0.375</v>
      </c>
      <c r="P673" s="22">
        <v>1.152E-3</v>
      </c>
    </row>
    <row r="674" spans="1:16" s="1" customFormat="1" ht="119.1" customHeight="1" outlineLevel="4" x14ac:dyDescent="0.2">
      <c r="A674" s="11">
        <v>219981</v>
      </c>
      <c r="B674" s="12" t="s">
        <v>1298</v>
      </c>
      <c r="C674" s="12" t="s">
        <v>50</v>
      </c>
      <c r="D674" s="28"/>
      <c r="E674" s="29" t="s">
        <v>1299</v>
      </c>
      <c r="F674" s="30" t="s">
        <v>24</v>
      </c>
      <c r="G674" s="31" t="s">
        <v>209</v>
      </c>
      <c r="H674" s="36">
        <v>110.2</v>
      </c>
      <c r="I674" s="36">
        <f>ROUND(H674-(H674*I2/100),2)</f>
        <v>110.2</v>
      </c>
      <c r="J674" s="17">
        <v>336</v>
      </c>
      <c r="K674" s="18"/>
      <c r="L674" s="18"/>
      <c r="M674" s="20"/>
      <c r="N674" s="37">
        <f t="shared" si="26"/>
        <v>0</v>
      </c>
      <c r="O674" s="21">
        <v>0.122</v>
      </c>
      <c r="P674" s="22">
        <v>4.64E-4</v>
      </c>
    </row>
    <row r="675" spans="1:16" s="1" customFormat="1" ht="119.1" customHeight="1" outlineLevel="4" x14ac:dyDescent="0.2">
      <c r="A675" s="11">
        <v>200318</v>
      </c>
      <c r="B675" s="12" t="s">
        <v>1300</v>
      </c>
      <c r="C675" s="12" t="s">
        <v>50</v>
      </c>
      <c r="D675" s="13"/>
      <c r="E675" s="14" t="s">
        <v>1301</v>
      </c>
      <c r="F675" s="15" t="s">
        <v>24</v>
      </c>
      <c r="G675" s="16"/>
      <c r="H675" s="36">
        <v>26141.68</v>
      </c>
      <c r="I675" s="36">
        <f>ROUND(H675-(H675*I2/100),2)</f>
        <v>26141.68</v>
      </c>
      <c r="J675" s="17">
        <v>2</v>
      </c>
      <c r="K675" s="18"/>
      <c r="L675" s="18"/>
      <c r="M675" s="20"/>
      <c r="N675" s="37">
        <f t="shared" si="26"/>
        <v>0</v>
      </c>
      <c r="O675" s="21">
        <v>44</v>
      </c>
      <c r="P675" s="22">
        <v>0.23</v>
      </c>
    </row>
    <row r="676" spans="1:16" s="1" customFormat="1" ht="119.1" customHeight="1" outlineLevel="4" x14ac:dyDescent="0.2">
      <c r="A676" s="11">
        <v>200319</v>
      </c>
      <c r="B676" s="12" t="s">
        <v>1302</v>
      </c>
      <c r="C676" s="12" t="s">
        <v>50</v>
      </c>
      <c r="D676" s="13"/>
      <c r="E676" s="14" t="s">
        <v>1303</v>
      </c>
      <c r="F676" s="15" t="s">
        <v>24</v>
      </c>
      <c r="G676" s="16"/>
      <c r="H676" s="36">
        <v>31296.9</v>
      </c>
      <c r="I676" s="36">
        <f>ROUND(H676-(H676*I2/100),2)</f>
        <v>31296.9</v>
      </c>
      <c r="J676" s="17">
        <v>4</v>
      </c>
      <c r="K676" s="18"/>
      <c r="L676" s="18"/>
      <c r="M676" s="20"/>
      <c r="N676" s="37">
        <f t="shared" si="26"/>
        <v>0</v>
      </c>
      <c r="O676" s="21">
        <v>56</v>
      </c>
      <c r="P676" s="22">
        <v>0.23</v>
      </c>
    </row>
    <row r="677" spans="1:16" s="1" customFormat="1" ht="119.1" customHeight="1" outlineLevel="4" x14ac:dyDescent="0.2">
      <c r="A677" s="11">
        <v>208905</v>
      </c>
      <c r="B677" s="12" t="s">
        <v>1304</v>
      </c>
      <c r="C677" s="12" t="s">
        <v>22</v>
      </c>
      <c r="D677" s="13"/>
      <c r="E677" s="14" t="s">
        <v>1305</v>
      </c>
      <c r="F677" s="15" t="s">
        <v>24</v>
      </c>
      <c r="G677" s="16"/>
      <c r="H677" s="36">
        <v>84304</v>
      </c>
      <c r="I677" s="36">
        <f>ROUND(H677-(H677*I2/100),2)</f>
        <v>84304</v>
      </c>
      <c r="J677" s="17">
        <v>6</v>
      </c>
      <c r="K677" s="18"/>
      <c r="L677" s="18"/>
      <c r="M677" s="20"/>
      <c r="N677" s="37">
        <f t="shared" si="26"/>
        <v>0</v>
      </c>
      <c r="O677" s="21">
        <v>80</v>
      </c>
      <c r="P677" s="22">
        <v>0.34753699999999998</v>
      </c>
    </row>
    <row r="678" spans="1:16" s="1" customFormat="1" ht="119.1" customHeight="1" outlineLevel="4" x14ac:dyDescent="0.2">
      <c r="A678" s="11">
        <v>217018</v>
      </c>
      <c r="B678" s="12" t="s">
        <v>1306</v>
      </c>
      <c r="C678" s="12" t="s">
        <v>50</v>
      </c>
      <c r="D678" s="13"/>
      <c r="E678" s="14" t="s">
        <v>1307</v>
      </c>
      <c r="F678" s="15" t="s">
        <v>24</v>
      </c>
      <c r="G678" s="16"/>
      <c r="H678" s="36">
        <v>34185.9</v>
      </c>
      <c r="I678" s="36">
        <f>ROUND(H678-(H678*I2/100),2)</f>
        <v>34185.9</v>
      </c>
      <c r="J678" s="17">
        <v>1</v>
      </c>
      <c r="K678" s="18"/>
      <c r="L678" s="18"/>
      <c r="M678" s="20"/>
      <c r="N678" s="37">
        <f t="shared" si="26"/>
        <v>0</v>
      </c>
      <c r="O678" s="21">
        <v>45</v>
      </c>
      <c r="P678" s="22">
        <v>0.30269699999999999</v>
      </c>
    </row>
    <row r="679" spans="1:16" s="8" customFormat="1" ht="15.95" customHeight="1" outlineLevel="3" x14ac:dyDescent="0.25">
      <c r="A679" s="9"/>
      <c r="B679" s="10"/>
      <c r="C679" s="10"/>
      <c r="D679" s="10" t="s">
        <v>1308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 spans="1:16" s="1" customFormat="1" ht="119.1" customHeight="1" outlineLevel="4" x14ac:dyDescent="0.2">
      <c r="A680" s="11">
        <v>170334</v>
      </c>
      <c r="B680" s="12" t="s">
        <v>1309</v>
      </c>
      <c r="C680" s="12" t="s">
        <v>22</v>
      </c>
      <c r="D680" s="13"/>
      <c r="E680" s="14" t="s">
        <v>1310</v>
      </c>
      <c r="F680" s="15" t="s">
        <v>113</v>
      </c>
      <c r="G680" s="16"/>
      <c r="H680" s="36">
        <v>842.7</v>
      </c>
      <c r="I680" s="36">
        <f>ROUND(H680-(H680*I2/100),2)</f>
        <v>842.7</v>
      </c>
      <c r="J680" s="17">
        <v>26</v>
      </c>
      <c r="K680" s="18"/>
      <c r="L680" s="18"/>
      <c r="M680" s="20"/>
      <c r="N680" s="37">
        <f t="shared" ref="N680:N696" si="27">I680*M680</f>
        <v>0</v>
      </c>
      <c r="O680" s="21">
        <v>0.55000000000000004</v>
      </c>
      <c r="P680" s="22">
        <v>2.4599999999999999E-3</v>
      </c>
    </row>
    <row r="681" spans="1:16" s="1" customFormat="1" ht="119.1" customHeight="1" outlineLevel="4" x14ac:dyDescent="0.2">
      <c r="A681" s="11">
        <v>170335</v>
      </c>
      <c r="B681" s="12" t="s">
        <v>1311</v>
      </c>
      <c r="C681" s="12" t="s">
        <v>22</v>
      </c>
      <c r="D681" s="28"/>
      <c r="E681" s="29" t="s">
        <v>1312</v>
      </c>
      <c r="F681" s="30" t="s">
        <v>113</v>
      </c>
      <c r="G681" s="31" t="s">
        <v>209</v>
      </c>
      <c r="H681" s="36">
        <v>1363</v>
      </c>
      <c r="I681" s="36">
        <f>ROUND(H681-(H681*I2/100),2)</f>
        <v>1363</v>
      </c>
      <c r="J681" s="17">
        <v>25</v>
      </c>
      <c r="K681" s="18"/>
      <c r="L681" s="18"/>
      <c r="M681" s="20"/>
      <c r="N681" s="37">
        <f t="shared" si="27"/>
        <v>0</v>
      </c>
      <c r="O681" s="21">
        <v>0.91</v>
      </c>
      <c r="P681" s="22">
        <v>3.8639999999999998E-3</v>
      </c>
    </row>
    <row r="682" spans="1:16" s="1" customFormat="1" ht="119.1" customHeight="1" outlineLevel="4" x14ac:dyDescent="0.2">
      <c r="A682" s="11">
        <v>165319</v>
      </c>
      <c r="B682" s="12" t="s">
        <v>1313</v>
      </c>
      <c r="C682" s="12" t="s">
        <v>22</v>
      </c>
      <c r="D682" s="13"/>
      <c r="E682" s="14" t="s">
        <v>1314</v>
      </c>
      <c r="F682" s="15" t="s">
        <v>113</v>
      </c>
      <c r="G682" s="16"/>
      <c r="H682" s="36">
        <v>731.1</v>
      </c>
      <c r="I682" s="36">
        <f>ROUND(H682-(H682*I2/100),2)</f>
        <v>731.1</v>
      </c>
      <c r="J682" s="17">
        <v>4</v>
      </c>
      <c r="K682" s="18"/>
      <c r="L682" s="18"/>
      <c r="M682" s="20"/>
      <c r="N682" s="37">
        <f t="shared" si="27"/>
        <v>0</v>
      </c>
      <c r="O682" s="21">
        <v>0.623</v>
      </c>
      <c r="P682" s="22">
        <v>2.4599999999999999E-3</v>
      </c>
    </row>
    <row r="683" spans="1:16" s="1" customFormat="1" ht="119.1" customHeight="1" outlineLevel="4" x14ac:dyDescent="0.2">
      <c r="A683" s="11">
        <v>216944</v>
      </c>
      <c r="B683" s="12" t="s">
        <v>1315</v>
      </c>
      <c r="C683" s="12" t="s">
        <v>50</v>
      </c>
      <c r="D683" s="13"/>
      <c r="E683" s="14" t="s">
        <v>1316</v>
      </c>
      <c r="F683" s="15" t="s">
        <v>24</v>
      </c>
      <c r="G683" s="16"/>
      <c r="H683" s="36">
        <v>181.3</v>
      </c>
      <c r="I683" s="36">
        <f>ROUND(H683-(H683*I2/100),2)</f>
        <v>181.3</v>
      </c>
      <c r="J683" s="17">
        <v>39</v>
      </c>
      <c r="K683" s="18"/>
      <c r="L683" s="18"/>
      <c r="M683" s="20"/>
      <c r="N683" s="37">
        <f t="shared" si="27"/>
        <v>0</v>
      </c>
      <c r="O683" s="21">
        <v>0.13300000000000001</v>
      </c>
      <c r="P683" s="22">
        <v>3.3199999999999999E-4</v>
      </c>
    </row>
    <row r="684" spans="1:16" s="1" customFormat="1" ht="119.1" customHeight="1" outlineLevel="4" x14ac:dyDescent="0.2">
      <c r="A684" s="11">
        <v>140107</v>
      </c>
      <c r="B684" s="12" t="s">
        <v>1317</v>
      </c>
      <c r="C684" s="12" t="s">
        <v>22</v>
      </c>
      <c r="D684" s="13"/>
      <c r="E684" s="14" t="s">
        <v>1318</v>
      </c>
      <c r="F684" s="15" t="s">
        <v>24</v>
      </c>
      <c r="G684" s="16"/>
      <c r="H684" s="36">
        <v>256.89999999999998</v>
      </c>
      <c r="I684" s="36">
        <f>ROUND(H684-(H684*I2/100),2)</f>
        <v>256.89999999999998</v>
      </c>
      <c r="J684" s="17">
        <v>2</v>
      </c>
      <c r="K684" s="18"/>
      <c r="L684" s="18"/>
      <c r="M684" s="20"/>
      <c r="N684" s="37">
        <f t="shared" si="27"/>
        <v>0</v>
      </c>
      <c r="O684" s="21">
        <v>0.11700000000000001</v>
      </c>
      <c r="P684" s="22">
        <v>2.8800000000000001E-4</v>
      </c>
    </row>
    <row r="685" spans="1:16" s="1" customFormat="1" ht="119.1" customHeight="1" outlineLevel="4" x14ac:dyDescent="0.2">
      <c r="A685" s="11">
        <v>216945</v>
      </c>
      <c r="B685" s="12" t="s">
        <v>1319</v>
      </c>
      <c r="C685" s="12" t="s">
        <v>50</v>
      </c>
      <c r="D685" s="13"/>
      <c r="E685" s="14" t="s">
        <v>1320</v>
      </c>
      <c r="F685" s="15" t="s">
        <v>24</v>
      </c>
      <c r="G685" s="16"/>
      <c r="H685" s="36">
        <v>171.8</v>
      </c>
      <c r="I685" s="36">
        <f>ROUND(H685-(H685*I2/100),2)</f>
        <v>171.8</v>
      </c>
      <c r="J685" s="17">
        <v>10</v>
      </c>
      <c r="K685" s="18"/>
      <c r="L685" s="18"/>
      <c r="M685" s="20"/>
      <c r="N685" s="37">
        <f t="shared" si="27"/>
        <v>0</v>
      </c>
      <c r="O685" s="21">
        <v>0.16700000000000001</v>
      </c>
      <c r="P685" s="22">
        <v>3.2699999999999998E-4</v>
      </c>
    </row>
    <row r="686" spans="1:16" s="1" customFormat="1" ht="119.1" customHeight="1" outlineLevel="4" x14ac:dyDescent="0.2">
      <c r="A686" s="11">
        <v>140110</v>
      </c>
      <c r="B686" s="12" t="s">
        <v>1321</v>
      </c>
      <c r="C686" s="12" t="s">
        <v>22</v>
      </c>
      <c r="D686" s="13"/>
      <c r="E686" s="14" t="s">
        <v>1322</v>
      </c>
      <c r="F686" s="15" t="s">
        <v>24</v>
      </c>
      <c r="G686" s="16"/>
      <c r="H686" s="36">
        <v>243.5</v>
      </c>
      <c r="I686" s="36">
        <f>ROUND(H686-(H686*I2/100),2)</f>
        <v>243.5</v>
      </c>
      <c r="J686" s="17">
        <v>16</v>
      </c>
      <c r="K686" s="18"/>
      <c r="L686" s="18"/>
      <c r="M686" s="20"/>
      <c r="N686" s="37">
        <f t="shared" si="27"/>
        <v>0</v>
      </c>
      <c r="O686" s="21">
        <v>0.108</v>
      </c>
      <c r="P686" s="22">
        <v>2.8800000000000001E-4</v>
      </c>
    </row>
    <row r="687" spans="1:16" s="1" customFormat="1" ht="119.1" customHeight="1" outlineLevel="4" x14ac:dyDescent="0.2">
      <c r="A687" s="11">
        <v>216946</v>
      </c>
      <c r="B687" s="12" t="s">
        <v>1323</v>
      </c>
      <c r="C687" s="12" t="s">
        <v>50</v>
      </c>
      <c r="D687" s="13"/>
      <c r="E687" s="14" t="s">
        <v>1324</v>
      </c>
      <c r="F687" s="15" t="s">
        <v>24</v>
      </c>
      <c r="G687" s="16"/>
      <c r="H687" s="36">
        <v>189.3</v>
      </c>
      <c r="I687" s="36">
        <f>ROUND(H687-(H687*I2/100),2)</f>
        <v>189.3</v>
      </c>
      <c r="J687" s="17">
        <v>55</v>
      </c>
      <c r="K687" s="18"/>
      <c r="L687" s="18"/>
      <c r="M687" s="20"/>
      <c r="N687" s="37">
        <f t="shared" si="27"/>
        <v>0</v>
      </c>
      <c r="O687" s="21">
        <v>0.1</v>
      </c>
      <c r="P687" s="22">
        <v>2.81E-4</v>
      </c>
    </row>
    <row r="688" spans="1:16" s="1" customFormat="1" ht="119.1" customHeight="1" outlineLevel="4" x14ac:dyDescent="0.2">
      <c r="A688" s="11">
        <v>216948</v>
      </c>
      <c r="B688" s="12" t="s">
        <v>1325</v>
      </c>
      <c r="C688" s="12" t="s">
        <v>50</v>
      </c>
      <c r="D688" s="13"/>
      <c r="E688" s="14" t="s">
        <v>1326</v>
      </c>
      <c r="F688" s="15" t="s">
        <v>24</v>
      </c>
      <c r="G688" s="16"/>
      <c r="H688" s="36">
        <v>200.2</v>
      </c>
      <c r="I688" s="36">
        <f>ROUND(H688-(H688*I2/100),2)</f>
        <v>200.2</v>
      </c>
      <c r="J688" s="17">
        <v>30</v>
      </c>
      <c r="K688" s="18"/>
      <c r="L688" s="18"/>
      <c r="M688" s="20"/>
      <c r="N688" s="37">
        <f t="shared" si="27"/>
        <v>0</v>
      </c>
      <c r="O688" s="21">
        <v>0.1</v>
      </c>
      <c r="P688" s="22">
        <v>2.81E-4</v>
      </c>
    </row>
    <row r="689" spans="1:16" s="1" customFormat="1" ht="119.1" customHeight="1" outlineLevel="4" x14ac:dyDescent="0.2">
      <c r="A689" s="11">
        <v>216949</v>
      </c>
      <c r="B689" s="12" t="s">
        <v>1327</v>
      </c>
      <c r="C689" s="12" t="s">
        <v>50</v>
      </c>
      <c r="D689" s="13"/>
      <c r="E689" s="14" t="s">
        <v>1328</v>
      </c>
      <c r="F689" s="15" t="s">
        <v>24</v>
      </c>
      <c r="G689" s="16"/>
      <c r="H689" s="36">
        <v>229.9</v>
      </c>
      <c r="I689" s="36">
        <f>ROUND(H689-(H689*I2/100),2)</f>
        <v>229.9</v>
      </c>
      <c r="J689" s="17">
        <v>11</v>
      </c>
      <c r="K689" s="18"/>
      <c r="L689" s="18"/>
      <c r="M689" s="20"/>
      <c r="N689" s="37">
        <f t="shared" si="27"/>
        <v>0</v>
      </c>
      <c r="O689" s="21">
        <v>0.191</v>
      </c>
      <c r="P689" s="22">
        <v>3.3199999999999999E-4</v>
      </c>
    </row>
    <row r="690" spans="1:16" s="1" customFormat="1" ht="119.1" customHeight="1" outlineLevel="4" x14ac:dyDescent="0.2">
      <c r="A690" s="11">
        <v>197652</v>
      </c>
      <c r="B690" s="12" t="s">
        <v>1329</v>
      </c>
      <c r="C690" s="12" t="s">
        <v>22</v>
      </c>
      <c r="D690" s="13"/>
      <c r="E690" s="14" t="s">
        <v>1330</v>
      </c>
      <c r="F690" s="15" t="s">
        <v>24</v>
      </c>
      <c r="G690" s="16"/>
      <c r="H690" s="36">
        <v>313.5</v>
      </c>
      <c r="I690" s="36">
        <f>ROUND(H690-(H690*I2/100),2)</f>
        <v>313.5</v>
      </c>
      <c r="J690" s="17">
        <v>14</v>
      </c>
      <c r="K690" s="18"/>
      <c r="L690" s="18"/>
      <c r="M690" s="20"/>
      <c r="N690" s="37">
        <f t="shared" si="27"/>
        <v>0</v>
      </c>
      <c r="O690" s="21">
        <v>0.2</v>
      </c>
      <c r="P690" s="22">
        <v>2.8800000000000001E-4</v>
      </c>
    </row>
    <row r="691" spans="1:16" s="1" customFormat="1" ht="119.1" customHeight="1" outlineLevel="4" x14ac:dyDescent="0.2">
      <c r="A691" s="11">
        <v>198489</v>
      </c>
      <c r="B691" s="12" t="s">
        <v>1331</v>
      </c>
      <c r="C691" s="12" t="s">
        <v>22</v>
      </c>
      <c r="D691" s="13"/>
      <c r="E691" s="14" t="s">
        <v>1332</v>
      </c>
      <c r="F691" s="15" t="s">
        <v>24</v>
      </c>
      <c r="G691" s="16"/>
      <c r="H691" s="36">
        <v>263.5</v>
      </c>
      <c r="I691" s="36">
        <f>ROUND(H691-(H691*I2/100),2)</f>
        <v>263.5</v>
      </c>
      <c r="J691" s="17">
        <v>68</v>
      </c>
      <c r="K691" s="18"/>
      <c r="L691" s="18"/>
      <c r="M691" s="20"/>
      <c r="N691" s="37">
        <f t="shared" si="27"/>
        <v>0</v>
      </c>
      <c r="O691" s="21">
        <v>0.11</v>
      </c>
      <c r="P691" s="22">
        <v>2.8800000000000001E-4</v>
      </c>
    </row>
    <row r="692" spans="1:16" s="1" customFormat="1" ht="119.1" customHeight="1" outlineLevel="4" x14ac:dyDescent="0.2">
      <c r="A692" s="11">
        <v>216950</v>
      </c>
      <c r="B692" s="12" t="s">
        <v>1333</v>
      </c>
      <c r="C692" s="12" t="s">
        <v>50</v>
      </c>
      <c r="D692" s="13"/>
      <c r="E692" s="14" t="s">
        <v>1334</v>
      </c>
      <c r="F692" s="15" t="s">
        <v>24</v>
      </c>
      <c r="G692" s="16"/>
      <c r="H692" s="36">
        <v>183.9</v>
      </c>
      <c r="I692" s="36">
        <f>ROUND(H692-(H692*I2/100),2)</f>
        <v>183.9</v>
      </c>
      <c r="J692" s="17">
        <v>35</v>
      </c>
      <c r="K692" s="18"/>
      <c r="L692" s="18"/>
      <c r="M692" s="20"/>
      <c r="N692" s="37">
        <f t="shared" si="27"/>
        <v>0</v>
      </c>
      <c r="O692" s="21">
        <v>0.13200000000000001</v>
      </c>
      <c r="P692" s="22">
        <v>2.81E-4</v>
      </c>
    </row>
    <row r="693" spans="1:16" s="1" customFormat="1" ht="119.1" customHeight="1" outlineLevel="4" x14ac:dyDescent="0.2">
      <c r="A693" s="11">
        <v>216951</v>
      </c>
      <c r="B693" s="12" t="s">
        <v>1335</v>
      </c>
      <c r="C693" s="12" t="s">
        <v>50</v>
      </c>
      <c r="D693" s="13"/>
      <c r="E693" s="14" t="s">
        <v>1336</v>
      </c>
      <c r="F693" s="15" t="s">
        <v>24</v>
      </c>
      <c r="G693" s="16"/>
      <c r="H693" s="36">
        <v>202.9</v>
      </c>
      <c r="I693" s="36">
        <f>ROUND(H693-(H693*I2/100),2)</f>
        <v>202.9</v>
      </c>
      <c r="J693" s="17">
        <v>60</v>
      </c>
      <c r="K693" s="18"/>
      <c r="L693" s="18"/>
      <c r="M693" s="20"/>
      <c r="N693" s="37">
        <f t="shared" si="27"/>
        <v>0</v>
      </c>
      <c r="O693" s="21">
        <v>0.16700000000000001</v>
      </c>
      <c r="P693" s="22">
        <v>3.2699999999999998E-4</v>
      </c>
    </row>
    <row r="694" spans="1:16" s="1" customFormat="1" ht="119.1" customHeight="1" outlineLevel="4" x14ac:dyDescent="0.2">
      <c r="A694" s="11">
        <v>216973</v>
      </c>
      <c r="B694" s="12" t="s">
        <v>1337</v>
      </c>
      <c r="C694" s="12" t="s">
        <v>50</v>
      </c>
      <c r="D694" s="13"/>
      <c r="E694" s="14" t="s">
        <v>1338</v>
      </c>
      <c r="F694" s="15" t="s">
        <v>24</v>
      </c>
      <c r="G694" s="16"/>
      <c r="H694" s="36">
        <v>158.19999999999999</v>
      </c>
      <c r="I694" s="36">
        <f>ROUND(H694-(H694*I2/100),2)</f>
        <v>158.19999999999999</v>
      </c>
      <c r="J694" s="17">
        <v>43</v>
      </c>
      <c r="K694" s="18"/>
      <c r="L694" s="18"/>
      <c r="M694" s="20"/>
      <c r="N694" s="37">
        <f t="shared" si="27"/>
        <v>0</v>
      </c>
      <c r="O694" s="21">
        <v>9.5000000000000001E-2</v>
      </c>
      <c r="P694" s="22">
        <v>3.2699999999999998E-4</v>
      </c>
    </row>
    <row r="695" spans="1:16" s="1" customFormat="1" ht="119.1" customHeight="1" outlineLevel="4" x14ac:dyDescent="0.2">
      <c r="A695" s="11">
        <v>216974</v>
      </c>
      <c r="B695" s="12" t="s">
        <v>1339</v>
      </c>
      <c r="C695" s="12" t="s">
        <v>50</v>
      </c>
      <c r="D695" s="13"/>
      <c r="E695" s="14" t="s">
        <v>1340</v>
      </c>
      <c r="F695" s="15" t="s">
        <v>24</v>
      </c>
      <c r="G695" s="16"/>
      <c r="H695" s="36">
        <v>200.2</v>
      </c>
      <c r="I695" s="36">
        <f>ROUND(H695-(H695*I2/100),2)</f>
        <v>200.2</v>
      </c>
      <c r="J695" s="17">
        <v>25</v>
      </c>
      <c r="K695" s="18"/>
      <c r="L695" s="18"/>
      <c r="M695" s="20"/>
      <c r="N695" s="37">
        <f t="shared" si="27"/>
        <v>0</v>
      </c>
      <c r="O695" s="21">
        <v>0.16700000000000001</v>
      </c>
      <c r="P695" s="22">
        <v>3.2699999999999998E-4</v>
      </c>
    </row>
    <row r="696" spans="1:16" s="1" customFormat="1" ht="119.1" customHeight="1" outlineLevel="4" x14ac:dyDescent="0.2">
      <c r="A696" s="11">
        <v>216975</v>
      </c>
      <c r="B696" s="12" t="s">
        <v>1341</v>
      </c>
      <c r="C696" s="12" t="s">
        <v>50</v>
      </c>
      <c r="D696" s="13"/>
      <c r="E696" s="14" t="s">
        <v>1342</v>
      </c>
      <c r="F696" s="15" t="s">
        <v>24</v>
      </c>
      <c r="G696" s="16"/>
      <c r="H696" s="36">
        <v>209.6</v>
      </c>
      <c r="I696" s="36">
        <f>ROUND(H696-(H696*I2/100),2)</f>
        <v>209.6</v>
      </c>
      <c r="J696" s="17">
        <v>33</v>
      </c>
      <c r="K696" s="18"/>
      <c r="L696" s="18"/>
      <c r="M696" s="20"/>
      <c r="N696" s="37">
        <f t="shared" si="27"/>
        <v>0</v>
      </c>
      <c r="O696" s="21">
        <v>0.16700000000000001</v>
      </c>
      <c r="P696" s="22">
        <v>3.2699999999999998E-4</v>
      </c>
    </row>
    <row r="697" spans="1:16" s="8" customFormat="1" ht="15.95" customHeight="1" outlineLevel="3" x14ac:dyDescent="0.25">
      <c r="A697" s="9"/>
      <c r="B697" s="10"/>
      <c r="C697" s="10"/>
      <c r="D697" s="10" t="s">
        <v>1343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 spans="1:16" s="1" customFormat="1" ht="119.1" customHeight="1" outlineLevel="4" x14ac:dyDescent="0.2">
      <c r="A698" s="11">
        <v>219313</v>
      </c>
      <c r="B698" s="12" t="s">
        <v>1344</v>
      </c>
      <c r="C698" s="12" t="s">
        <v>50</v>
      </c>
      <c r="D698" s="13"/>
      <c r="E698" s="14" t="s">
        <v>1345</v>
      </c>
      <c r="F698" s="15" t="s">
        <v>113</v>
      </c>
      <c r="G698" s="16"/>
      <c r="H698" s="36">
        <v>270.2</v>
      </c>
      <c r="I698" s="36">
        <f>ROUND(H698-(H698*I2/100),2)</f>
        <v>270.2</v>
      </c>
      <c r="J698" s="17">
        <v>991</v>
      </c>
      <c r="K698" s="18"/>
      <c r="L698" s="18"/>
      <c r="M698" s="20"/>
      <c r="N698" s="37">
        <f t="shared" ref="N698:N711" si="28">I698*M698</f>
        <v>0</v>
      </c>
      <c r="O698" s="21">
        <v>0.16</v>
      </c>
      <c r="P698" s="22">
        <v>1.008E-3</v>
      </c>
    </row>
    <row r="699" spans="1:16" s="1" customFormat="1" ht="119.1" customHeight="1" outlineLevel="4" x14ac:dyDescent="0.2">
      <c r="A699" s="11">
        <v>217029</v>
      </c>
      <c r="B699" s="12" t="s">
        <v>1346</v>
      </c>
      <c r="C699" s="12" t="s">
        <v>50</v>
      </c>
      <c r="D699" s="13"/>
      <c r="E699" s="14" t="s">
        <v>1347</v>
      </c>
      <c r="F699" s="15" t="s">
        <v>24</v>
      </c>
      <c r="G699" s="16"/>
      <c r="H699" s="36">
        <v>206.9</v>
      </c>
      <c r="I699" s="36">
        <f>ROUND(H699-(H699*I2/100),2)</f>
        <v>206.9</v>
      </c>
      <c r="J699" s="17">
        <v>208</v>
      </c>
      <c r="K699" s="18"/>
      <c r="L699" s="18"/>
      <c r="M699" s="20"/>
      <c r="N699" s="37">
        <f t="shared" si="28"/>
        <v>0</v>
      </c>
      <c r="O699" s="21">
        <v>0.157</v>
      </c>
      <c r="P699" s="22">
        <v>7.9199999999999995E-4</v>
      </c>
    </row>
    <row r="700" spans="1:16" s="1" customFormat="1" ht="119.1" customHeight="1" outlineLevel="4" x14ac:dyDescent="0.2">
      <c r="A700" s="11">
        <v>219314</v>
      </c>
      <c r="B700" s="12" t="s">
        <v>1348</v>
      </c>
      <c r="C700" s="12" t="s">
        <v>50</v>
      </c>
      <c r="D700" s="13"/>
      <c r="E700" s="14" t="s">
        <v>1349</v>
      </c>
      <c r="F700" s="15" t="s">
        <v>24</v>
      </c>
      <c r="G700" s="16"/>
      <c r="H700" s="36">
        <v>277.7</v>
      </c>
      <c r="I700" s="36">
        <f>ROUND(H700-(H700*I2/100),2)</f>
        <v>277.7</v>
      </c>
      <c r="J700" s="17">
        <v>637</v>
      </c>
      <c r="K700" s="18"/>
      <c r="L700" s="18"/>
      <c r="M700" s="20"/>
      <c r="N700" s="37">
        <f t="shared" si="28"/>
        <v>0</v>
      </c>
      <c r="O700" s="21">
        <v>0.222</v>
      </c>
      <c r="P700" s="22">
        <v>8.25E-4</v>
      </c>
    </row>
    <row r="701" spans="1:16" s="1" customFormat="1" ht="119.1" customHeight="1" outlineLevel="4" x14ac:dyDescent="0.2">
      <c r="A701" s="11">
        <v>216958</v>
      </c>
      <c r="B701" s="12" t="s">
        <v>1350</v>
      </c>
      <c r="C701" s="12" t="s">
        <v>50</v>
      </c>
      <c r="D701" s="13"/>
      <c r="E701" s="14" t="s">
        <v>1351</v>
      </c>
      <c r="F701" s="15" t="s">
        <v>24</v>
      </c>
      <c r="G701" s="16"/>
      <c r="H701" s="36">
        <v>124.6</v>
      </c>
      <c r="I701" s="36">
        <f>ROUND(H701-(H701*I2/100),2)</f>
        <v>124.6</v>
      </c>
      <c r="J701" s="27">
        <v>1870</v>
      </c>
      <c r="K701" s="18"/>
      <c r="L701" s="18"/>
      <c r="M701" s="20"/>
      <c r="N701" s="37">
        <f t="shared" si="28"/>
        <v>0</v>
      </c>
      <c r="O701" s="21">
        <v>0.1</v>
      </c>
      <c r="P701" s="22">
        <v>6.7199999999999996E-4</v>
      </c>
    </row>
    <row r="702" spans="1:16" s="1" customFormat="1" ht="119.1" customHeight="1" outlineLevel="4" x14ac:dyDescent="0.2">
      <c r="A702" s="11">
        <v>169109</v>
      </c>
      <c r="B702" s="12" t="s">
        <v>1352</v>
      </c>
      <c r="C702" s="12" t="s">
        <v>22</v>
      </c>
      <c r="D702" s="13"/>
      <c r="E702" s="14" t="s">
        <v>1353</v>
      </c>
      <c r="F702" s="15" t="s">
        <v>24</v>
      </c>
      <c r="G702" s="16"/>
      <c r="H702" s="36">
        <v>409.8</v>
      </c>
      <c r="I702" s="36">
        <f>ROUND(H702-(H702*I2/100),2)</f>
        <v>409.8</v>
      </c>
      <c r="J702" s="27">
        <v>1455</v>
      </c>
      <c r="K702" s="18"/>
      <c r="L702" s="18"/>
      <c r="M702" s="20"/>
      <c r="N702" s="37">
        <f t="shared" si="28"/>
        <v>0</v>
      </c>
      <c r="O702" s="21">
        <v>0.19</v>
      </c>
      <c r="P702" s="22">
        <v>6.7199999999999996E-4</v>
      </c>
    </row>
    <row r="703" spans="1:16" s="1" customFormat="1" ht="119.1" customHeight="1" outlineLevel="4" x14ac:dyDescent="0.2">
      <c r="A703" s="11">
        <v>217030</v>
      </c>
      <c r="B703" s="12" t="s">
        <v>1354</v>
      </c>
      <c r="C703" s="12" t="s">
        <v>50</v>
      </c>
      <c r="D703" s="13"/>
      <c r="E703" s="14" t="s">
        <v>1355</v>
      </c>
      <c r="F703" s="15" t="s">
        <v>24</v>
      </c>
      <c r="G703" s="16"/>
      <c r="H703" s="36">
        <v>326.3</v>
      </c>
      <c r="I703" s="36">
        <f>ROUND(H703-(H703*I2/100),2)</f>
        <v>326.3</v>
      </c>
      <c r="J703" s="17">
        <v>100</v>
      </c>
      <c r="K703" s="18"/>
      <c r="L703" s="18"/>
      <c r="M703" s="20"/>
      <c r="N703" s="37">
        <f t="shared" si="28"/>
        <v>0</v>
      </c>
      <c r="O703" s="21">
        <v>0.16</v>
      </c>
      <c r="P703" s="22">
        <v>6.7199999999999996E-4</v>
      </c>
    </row>
    <row r="704" spans="1:16" s="1" customFormat="1" ht="119.1" customHeight="1" outlineLevel="4" x14ac:dyDescent="0.2">
      <c r="A704" s="11">
        <v>196634</v>
      </c>
      <c r="B704" s="12" t="s">
        <v>1356</v>
      </c>
      <c r="C704" s="12" t="s">
        <v>50</v>
      </c>
      <c r="D704" s="13"/>
      <c r="E704" s="14" t="s">
        <v>1357</v>
      </c>
      <c r="F704" s="15" t="s">
        <v>24</v>
      </c>
      <c r="G704" s="16"/>
      <c r="H704" s="36">
        <v>443.7</v>
      </c>
      <c r="I704" s="36">
        <f>ROUND(H704-(H704*I2/100),2)</f>
        <v>443.7</v>
      </c>
      <c r="J704" s="17">
        <v>61</v>
      </c>
      <c r="K704" s="18"/>
      <c r="L704" s="18"/>
      <c r="M704" s="20"/>
      <c r="N704" s="37">
        <f t="shared" si="28"/>
        <v>0</v>
      </c>
      <c r="O704" s="21">
        <v>0.438</v>
      </c>
      <c r="P704" s="22">
        <v>1.0560000000000001E-3</v>
      </c>
    </row>
    <row r="705" spans="1:16" s="1" customFormat="1" ht="119.1" customHeight="1" outlineLevel="4" x14ac:dyDescent="0.2">
      <c r="A705" s="11">
        <v>140080</v>
      </c>
      <c r="B705" s="12" t="s">
        <v>1358</v>
      </c>
      <c r="C705" s="12" t="s">
        <v>22</v>
      </c>
      <c r="D705" s="13"/>
      <c r="E705" s="14" t="s">
        <v>1359</v>
      </c>
      <c r="F705" s="15" t="s">
        <v>24</v>
      </c>
      <c r="G705" s="16"/>
      <c r="H705" s="36">
        <v>511.6</v>
      </c>
      <c r="I705" s="36">
        <f>ROUND(H705-(H705*I2/100),2)</f>
        <v>511.6</v>
      </c>
      <c r="J705" s="17">
        <v>221</v>
      </c>
      <c r="K705" s="18"/>
      <c r="L705" s="18"/>
      <c r="M705" s="20"/>
      <c r="N705" s="37">
        <f t="shared" si="28"/>
        <v>0</v>
      </c>
      <c r="O705" s="21">
        <v>0.42499999999999999</v>
      </c>
      <c r="P705" s="22">
        <v>5.7600000000000001E-4</v>
      </c>
    </row>
    <row r="706" spans="1:16" s="1" customFormat="1" ht="119.1" customHeight="1" outlineLevel="4" x14ac:dyDescent="0.2">
      <c r="A706" s="11">
        <v>140082</v>
      </c>
      <c r="B706" s="12" t="s">
        <v>1360</v>
      </c>
      <c r="C706" s="12" t="s">
        <v>22</v>
      </c>
      <c r="D706" s="13"/>
      <c r="E706" s="14" t="s">
        <v>1361</v>
      </c>
      <c r="F706" s="15" t="s">
        <v>24</v>
      </c>
      <c r="G706" s="16"/>
      <c r="H706" s="36">
        <v>510.3</v>
      </c>
      <c r="I706" s="36">
        <f>ROUND(H706-(H706*I2/100),2)</f>
        <v>510.3</v>
      </c>
      <c r="J706" s="17">
        <v>90</v>
      </c>
      <c r="K706" s="18"/>
      <c r="L706" s="18"/>
      <c r="M706" s="20"/>
      <c r="N706" s="37">
        <f t="shared" si="28"/>
        <v>0</v>
      </c>
      <c r="O706" s="21">
        <v>0.41299999999999998</v>
      </c>
      <c r="P706" s="22">
        <v>5.1800000000000001E-4</v>
      </c>
    </row>
    <row r="707" spans="1:16" s="1" customFormat="1" ht="119.1" customHeight="1" outlineLevel="4" x14ac:dyDescent="0.2">
      <c r="A707" s="11">
        <v>140081</v>
      </c>
      <c r="B707" s="12" t="s">
        <v>1362</v>
      </c>
      <c r="C707" s="12" t="s">
        <v>22</v>
      </c>
      <c r="D707" s="13"/>
      <c r="E707" s="14" t="s">
        <v>1363</v>
      </c>
      <c r="F707" s="15" t="s">
        <v>24</v>
      </c>
      <c r="G707" s="16"/>
      <c r="H707" s="36">
        <v>512.70000000000005</v>
      </c>
      <c r="I707" s="36">
        <f>ROUND(H707-(H707*I2/100),2)</f>
        <v>512.70000000000005</v>
      </c>
      <c r="J707" s="17">
        <v>3</v>
      </c>
      <c r="K707" s="18"/>
      <c r="L707" s="18"/>
      <c r="M707" s="20"/>
      <c r="N707" s="37">
        <f t="shared" si="28"/>
        <v>0</v>
      </c>
      <c r="O707" s="21">
        <v>0.45</v>
      </c>
      <c r="P707" s="22">
        <v>6.7699999999999998E-4</v>
      </c>
    </row>
    <row r="708" spans="1:16" s="1" customFormat="1" ht="119.1" customHeight="1" outlineLevel="4" x14ac:dyDescent="0.2">
      <c r="A708" s="11">
        <v>167367</v>
      </c>
      <c r="B708" s="12" t="s">
        <v>1364</v>
      </c>
      <c r="C708" s="12" t="s">
        <v>22</v>
      </c>
      <c r="D708" s="13"/>
      <c r="E708" s="14" t="s">
        <v>1365</v>
      </c>
      <c r="F708" s="15" t="s">
        <v>24</v>
      </c>
      <c r="G708" s="16"/>
      <c r="H708" s="36">
        <v>655.6</v>
      </c>
      <c r="I708" s="36">
        <f>ROUND(H708-(H708*I2/100),2)</f>
        <v>655.6</v>
      </c>
      <c r="J708" s="17">
        <v>75</v>
      </c>
      <c r="K708" s="18"/>
      <c r="L708" s="18"/>
      <c r="M708" s="20"/>
      <c r="N708" s="37">
        <f t="shared" si="28"/>
        <v>0</v>
      </c>
      <c r="O708" s="21">
        <v>0.5</v>
      </c>
      <c r="P708" s="22">
        <v>5.6899999999999995E-4</v>
      </c>
    </row>
    <row r="709" spans="1:16" s="1" customFormat="1" ht="119.1" customHeight="1" outlineLevel="4" x14ac:dyDescent="0.2">
      <c r="A709" s="11">
        <v>205894</v>
      </c>
      <c r="B709" s="12" t="s">
        <v>1366</v>
      </c>
      <c r="C709" s="12" t="s">
        <v>50</v>
      </c>
      <c r="D709" s="13"/>
      <c r="E709" s="14" t="s">
        <v>1367</v>
      </c>
      <c r="F709" s="15" t="s">
        <v>24</v>
      </c>
      <c r="G709" s="16"/>
      <c r="H709" s="36">
        <v>95.9</v>
      </c>
      <c r="I709" s="36">
        <f>ROUND(H709-(H709*I2/100),2)</f>
        <v>95.9</v>
      </c>
      <c r="J709" s="17">
        <v>150</v>
      </c>
      <c r="K709" s="18"/>
      <c r="L709" s="18"/>
      <c r="M709" s="20"/>
      <c r="N709" s="37">
        <f t="shared" si="28"/>
        <v>0</v>
      </c>
      <c r="O709" s="21">
        <v>4.8000000000000001E-2</v>
      </c>
      <c r="P709" s="22">
        <v>3.2000000000000003E-4</v>
      </c>
    </row>
    <row r="710" spans="1:16" s="1" customFormat="1" ht="119.1" customHeight="1" outlineLevel="4" x14ac:dyDescent="0.2">
      <c r="A710" s="11">
        <v>205895</v>
      </c>
      <c r="B710" s="12" t="s">
        <v>1368</v>
      </c>
      <c r="C710" s="12" t="s">
        <v>50</v>
      </c>
      <c r="D710" s="13"/>
      <c r="E710" s="14" t="s">
        <v>1369</v>
      </c>
      <c r="F710" s="15" t="s">
        <v>24</v>
      </c>
      <c r="G710" s="16"/>
      <c r="H710" s="36">
        <v>86.8</v>
      </c>
      <c r="I710" s="36">
        <f>ROUND(H710-(H710*I2/100),2)</f>
        <v>86.8</v>
      </c>
      <c r="J710" s="27">
        <v>1697</v>
      </c>
      <c r="K710" s="18"/>
      <c r="L710" s="18"/>
      <c r="M710" s="20"/>
      <c r="N710" s="37">
        <f t="shared" si="28"/>
        <v>0</v>
      </c>
      <c r="O710" s="21">
        <v>6.5000000000000002E-2</v>
      </c>
      <c r="P710" s="22">
        <v>3.6900000000000002E-4</v>
      </c>
    </row>
    <row r="711" spans="1:16" s="1" customFormat="1" ht="119.1" customHeight="1" outlineLevel="4" x14ac:dyDescent="0.2">
      <c r="A711" s="11">
        <v>197302</v>
      </c>
      <c r="B711" s="12" t="s">
        <v>1370</v>
      </c>
      <c r="C711" s="12" t="s">
        <v>50</v>
      </c>
      <c r="D711" s="13"/>
      <c r="E711" s="14" t="s">
        <v>1371</v>
      </c>
      <c r="F711" s="15" t="s">
        <v>24</v>
      </c>
      <c r="G711" s="16"/>
      <c r="H711" s="36">
        <v>135.1</v>
      </c>
      <c r="I711" s="36">
        <f>ROUND(H711-(H711*I2/100),2)</f>
        <v>135.1</v>
      </c>
      <c r="J711" s="27">
        <v>1444</v>
      </c>
      <c r="K711" s="18"/>
      <c r="L711" s="18"/>
      <c r="M711" s="20"/>
      <c r="N711" s="37">
        <f t="shared" si="28"/>
        <v>0</v>
      </c>
      <c r="O711" s="21">
        <v>7.1999999999999995E-2</v>
      </c>
      <c r="P711" s="22">
        <v>6.7199999999999996E-4</v>
      </c>
    </row>
    <row r="712" spans="1:16" s="8" customFormat="1" ht="15.95" customHeight="1" outlineLevel="3" x14ac:dyDescent="0.25">
      <c r="A712" s="9"/>
      <c r="B712" s="10"/>
      <c r="C712" s="10"/>
      <c r="D712" s="10" t="s">
        <v>1372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 spans="1:16" s="1" customFormat="1" ht="119.1" customHeight="1" outlineLevel="4" x14ac:dyDescent="0.2">
      <c r="A713" s="11">
        <v>197304</v>
      </c>
      <c r="B713" s="12" t="s">
        <v>1373</v>
      </c>
      <c r="C713" s="12" t="s">
        <v>50</v>
      </c>
      <c r="D713" s="13"/>
      <c r="E713" s="14" t="s">
        <v>1374</v>
      </c>
      <c r="F713" s="15" t="s">
        <v>24</v>
      </c>
      <c r="G713" s="16"/>
      <c r="H713" s="36">
        <v>277.39999999999998</v>
      </c>
      <c r="I713" s="36">
        <f>ROUND(H713-(H713*I2/100),2)</f>
        <v>277.39999999999998</v>
      </c>
      <c r="J713" s="17">
        <v>483</v>
      </c>
      <c r="K713" s="18"/>
      <c r="L713" s="18"/>
      <c r="M713" s="20"/>
      <c r="N713" s="37">
        <f t="shared" ref="N713:N723" si="29">I713*M713</f>
        <v>0</v>
      </c>
      <c r="O713" s="21">
        <v>0.38300000000000001</v>
      </c>
      <c r="P713" s="22">
        <v>2.1749999999999999E-3</v>
      </c>
    </row>
    <row r="714" spans="1:16" s="1" customFormat="1" ht="119.1" customHeight="1" outlineLevel="4" x14ac:dyDescent="0.2">
      <c r="A714" s="11">
        <v>210064</v>
      </c>
      <c r="B714" s="12" t="s">
        <v>1375</v>
      </c>
      <c r="C714" s="12" t="s">
        <v>22</v>
      </c>
      <c r="D714" s="13"/>
      <c r="E714" s="14" t="s">
        <v>1376</v>
      </c>
      <c r="F714" s="15" t="s">
        <v>24</v>
      </c>
      <c r="G714" s="16"/>
      <c r="H714" s="36">
        <v>736.4</v>
      </c>
      <c r="I714" s="36">
        <f>ROUND(H714-(H714*I2/100),2)</f>
        <v>736.4</v>
      </c>
      <c r="J714" s="17">
        <v>524</v>
      </c>
      <c r="K714" s="18"/>
      <c r="L714" s="18"/>
      <c r="M714" s="20"/>
      <c r="N714" s="37">
        <f t="shared" si="29"/>
        <v>0</v>
      </c>
      <c r="O714" s="21">
        <v>0.45800000000000002</v>
      </c>
      <c r="P714" s="22">
        <v>1.8799999999999999E-3</v>
      </c>
    </row>
    <row r="715" spans="1:16" s="1" customFormat="1" ht="119.1" customHeight="1" outlineLevel="4" x14ac:dyDescent="0.2">
      <c r="A715" s="11">
        <v>188685</v>
      </c>
      <c r="B715" s="12" t="s">
        <v>1377</v>
      </c>
      <c r="C715" s="12" t="s">
        <v>22</v>
      </c>
      <c r="D715" s="28"/>
      <c r="E715" s="29" t="s">
        <v>1378</v>
      </c>
      <c r="F715" s="30" t="s">
        <v>24</v>
      </c>
      <c r="G715" s="31" t="s">
        <v>209</v>
      </c>
      <c r="H715" s="36">
        <v>386.8</v>
      </c>
      <c r="I715" s="36">
        <f>ROUND(H715-(H715*I2/100),2)</f>
        <v>386.8</v>
      </c>
      <c r="J715" s="17">
        <v>26</v>
      </c>
      <c r="K715" s="18"/>
      <c r="L715" s="18"/>
      <c r="M715" s="20"/>
      <c r="N715" s="37">
        <f t="shared" si="29"/>
        <v>0</v>
      </c>
      <c r="O715" s="21">
        <v>0.375</v>
      </c>
      <c r="P715" s="22">
        <v>2.3930000000000002E-3</v>
      </c>
    </row>
    <row r="716" spans="1:16" s="1" customFormat="1" ht="119.1" customHeight="1" outlineLevel="4" x14ac:dyDescent="0.2">
      <c r="A716" s="11">
        <v>196130</v>
      </c>
      <c r="B716" s="12" t="s">
        <v>1379</v>
      </c>
      <c r="C716" s="12" t="s">
        <v>50</v>
      </c>
      <c r="D716" s="13"/>
      <c r="E716" s="14" t="s">
        <v>1380</v>
      </c>
      <c r="F716" s="15" t="s">
        <v>24</v>
      </c>
      <c r="G716" s="16"/>
      <c r="H716" s="36">
        <v>305.7</v>
      </c>
      <c r="I716" s="36">
        <f>ROUND(H716-(H716*I2/100),2)</f>
        <v>305.7</v>
      </c>
      <c r="J716" s="17">
        <v>207</v>
      </c>
      <c r="K716" s="18"/>
      <c r="L716" s="18"/>
      <c r="M716" s="20"/>
      <c r="N716" s="37">
        <f t="shared" si="29"/>
        <v>0</v>
      </c>
      <c r="O716" s="21">
        <v>0.41299999999999998</v>
      </c>
      <c r="P716" s="22">
        <v>2.3930000000000002E-3</v>
      </c>
    </row>
    <row r="717" spans="1:16" s="1" customFormat="1" ht="119.1" customHeight="1" outlineLevel="4" x14ac:dyDescent="0.2">
      <c r="A717" s="11">
        <v>210065</v>
      </c>
      <c r="B717" s="12" t="s">
        <v>1381</v>
      </c>
      <c r="C717" s="12" t="s">
        <v>22</v>
      </c>
      <c r="D717" s="13"/>
      <c r="E717" s="14" t="s">
        <v>1382</v>
      </c>
      <c r="F717" s="15" t="s">
        <v>24</v>
      </c>
      <c r="G717" s="16"/>
      <c r="H717" s="36">
        <v>781.3</v>
      </c>
      <c r="I717" s="36">
        <f>ROUND(H717-(H717*I2/100),2)</f>
        <v>781.3</v>
      </c>
      <c r="J717" s="17">
        <v>535</v>
      </c>
      <c r="K717" s="18"/>
      <c r="L717" s="18"/>
      <c r="M717" s="20"/>
      <c r="N717" s="37">
        <f t="shared" si="29"/>
        <v>0</v>
      </c>
      <c r="O717" s="21">
        <v>0.5</v>
      </c>
      <c r="P717" s="22">
        <v>2.0600000000000002E-3</v>
      </c>
    </row>
    <row r="718" spans="1:16" s="1" customFormat="1" ht="119.1" customHeight="1" outlineLevel="4" x14ac:dyDescent="0.2">
      <c r="A718" s="11">
        <v>196266</v>
      </c>
      <c r="B718" s="12" t="s">
        <v>1383</v>
      </c>
      <c r="C718" s="12" t="s">
        <v>50</v>
      </c>
      <c r="D718" s="13"/>
      <c r="E718" s="14" t="s">
        <v>1384</v>
      </c>
      <c r="F718" s="15" t="s">
        <v>24</v>
      </c>
      <c r="G718" s="16"/>
      <c r="H718" s="36">
        <v>320.60000000000002</v>
      </c>
      <c r="I718" s="36">
        <f>ROUND(H718-(H718*I2/100),2)</f>
        <v>320.60000000000002</v>
      </c>
      <c r="J718" s="17">
        <v>365</v>
      </c>
      <c r="K718" s="18"/>
      <c r="L718" s="18"/>
      <c r="M718" s="20"/>
      <c r="N718" s="37">
        <f t="shared" si="29"/>
        <v>0</v>
      </c>
      <c r="O718" s="21">
        <v>0.41699999999999998</v>
      </c>
      <c r="P718" s="22">
        <v>2.5669999999999998E-3</v>
      </c>
    </row>
    <row r="719" spans="1:16" s="1" customFormat="1" ht="119.1" customHeight="1" outlineLevel="4" x14ac:dyDescent="0.2">
      <c r="A719" s="11">
        <v>210066</v>
      </c>
      <c r="B719" s="12" t="s">
        <v>1385</v>
      </c>
      <c r="C719" s="12" t="s">
        <v>22</v>
      </c>
      <c r="D719" s="13"/>
      <c r="E719" s="14" t="s">
        <v>1386</v>
      </c>
      <c r="F719" s="15" t="s">
        <v>24</v>
      </c>
      <c r="G719" s="16"/>
      <c r="H719" s="36">
        <v>840.6</v>
      </c>
      <c r="I719" s="36">
        <f>ROUND(H719-(H719*I2/100),2)</f>
        <v>840.6</v>
      </c>
      <c r="J719" s="17">
        <v>394</v>
      </c>
      <c r="K719" s="18"/>
      <c r="L719" s="18"/>
      <c r="M719" s="20"/>
      <c r="N719" s="37">
        <f t="shared" si="29"/>
        <v>0</v>
      </c>
      <c r="O719" s="21">
        <v>0.54200000000000004</v>
      </c>
      <c r="P719" s="22">
        <v>2.2499999999999998E-3</v>
      </c>
    </row>
    <row r="720" spans="1:16" s="1" customFormat="1" ht="119.1" customHeight="1" outlineLevel="4" x14ac:dyDescent="0.2">
      <c r="A720" s="11">
        <v>140065</v>
      </c>
      <c r="B720" s="12" t="s">
        <v>1387</v>
      </c>
      <c r="C720" s="12" t="s">
        <v>22</v>
      </c>
      <c r="D720" s="13"/>
      <c r="E720" s="14" t="s">
        <v>1388</v>
      </c>
      <c r="F720" s="15" t="s">
        <v>24</v>
      </c>
      <c r="G720" s="16"/>
      <c r="H720" s="36">
        <v>441.1</v>
      </c>
      <c r="I720" s="36">
        <f>ROUND(H720-(H720*I2/100),2)</f>
        <v>441.1</v>
      </c>
      <c r="J720" s="17">
        <v>204</v>
      </c>
      <c r="K720" s="18"/>
      <c r="L720" s="18"/>
      <c r="M720" s="20"/>
      <c r="N720" s="37">
        <f t="shared" si="29"/>
        <v>0</v>
      </c>
      <c r="O720" s="21">
        <v>0.45</v>
      </c>
      <c r="P720" s="22">
        <v>3.0240000000000002E-3</v>
      </c>
    </row>
    <row r="721" spans="1:16" s="1" customFormat="1" ht="119.1" customHeight="1" outlineLevel="4" x14ac:dyDescent="0.2">
      <c r="A721" s="11">
        <v>216959</v>
      </c>
      <c r="B721" s="12" t="s">
        <v>1389</v>
      </c>
      <c r="C721" s="12" t="s">
        <v>50</v>
      </c>
      <c r="D721" s="13"/>
      <c r="E721" s="14" t="s">
        <v>1390</v>
      </c>
      <c r="F721" s="15" t="s">
        <v>24</v>
      </c>
      <c r="G721" s="16"/>
      <c r="H721" s="36">
        <v>918.6</v>
      </c>
      <c r="I721" s="36">
        <f>ROUND(H721-(H721*I2/100),2)</f>
        <v>918.6</v>
      </c>
      <c r="J721" s="17">
        <v>55</v>
      </c>
      <c r="K721" s="18"/>
      <c r="L721" s="18"/>
      <c r="M721" s="20"/>
      <c r="N721" s="37">
        <f t="shared" si="29"/>
        <v>0</v>
      </c>
      <c r="O721" s="21">
        <v>0.79200000000000004</v>
      </c>
      <c r="P721" s="22">
        <v>3.2179999999999999E-3</v>
      </c>
    </row>
    <row r="722" spans="1:16" s="1" customFormat="1" ht="119.1" customHeight="1" outlineLevel="4" x14ac:dyDescent="0.2">
      <c r="A722" s="11">
        <v>201934</v>
      </c>
      <c r="B722" s="12" t="s">
        <v>1391</v>
      </c>
      <c r="C722" s="12" t="s">
        <v>50</v>
      </c>
      <c r="D722" s="13"/>
      <c r="E722" s="14" t="s">
        <v>1392</v>
      </c>
      <c r="F722" s="15" t="s">
        <v>24</v>
      </c>
      <c r="G722" s="16"/>
      <c r="H722" s="36">
        <v>617.1</v>
      </c>
      <c r="I722" s="36">
        <f>ROUND(H722-(H722*I2/100),2)</f>
        <v>617.1</v>
      </c>
      <c r="J722" s="17">
        <v>201</v>
      </c>
      <c r="K722" s="18"/>
      <c r="L722" s="18"/>
      <c r="M722" s="20"/>
      <c r="N722" s="37">
        <f t="shared" si="29"/>
        <v>0</v>
      </c>
      <c r="O722" s="21">
        <v>0.65</v>
      </c>
      <c r="P722" s="22">
        <v>5.5930000000000001E-2</v>
      </c>
    </row>
    <row r="723" spans="1:16" s="1" customFormat="1" ht="119.1" customHeight="1" outlineLevel="4" x14ac:dyDescent="0.2">
      <c r="A723" s="11">
        <v>220368</v>
      </c>
      <c r="B723" s="12" t="s">
        <v>1393</v>
      </c>
      <c r="C723" s="12" t="s">
        <v>22</v>
      </c>
      <c r="D723" s="28"/>
      <c r="E723" s="29" t="s">
        <v>1394</v>
      </c>
      <c r="F723" s="30" t="s">
        <v>24</v>
      </c>
      <c r="G723" s="31" t="s">
        <v>209</v>
      </c>
      <c r="H723" s="36">
        <v>856.3</v>
      </c>
      <c r="I723" s="36">
        <f>ROUND(H723-(H723*I2/100),2)</f>
        <v>856.3</v>
      </c>
      <c r="J723" s="17">
        <v>14</v>
      </c>
      <c r="K723" s="18"/>
      <c r="L723" s="18"/>
      <c r="M723" s="20"/>
      <c r="N723" s="37">
        <f t="shared" si="29"/>
        <v>0</v>
      </c>
      <c r="O723" s="21">
        <v>0.8</v>
      </c>
      <c r="P723" s="22">
        <v>2E-3</v>
      </c>
    </row>
    <row r="724" spans="1:16" s="8" customFormat="1" ht="15.95" customHeight="1" outlineLevel="3" x14ac:dyDescent="0.25">
      <c r="A724" s="9"/>
      <c r="B724" s="10"/>
      <c r="C724" s="10"/>
      <c r="D724" s="10" t="s">
        <v>1395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 spans="1:16" s="1" customFormat="1" ht="119.1" customHeight="1" outlineLevel="4" x14ac:dyDescent="0.2">
      <c r="A725" s="11">
        <v>165294</v>
      </c>
      <c r="B725" s="12" t="s">
        <v>1396</v>
      </c>
      <c r="C725" s="12" t="s">
        <v>22</v>
      </c>
      <c r="D725" s="13"/>
      <c r="E725" s="14" t="s">
        <v>1397</v>
      </c>
      <c r="F725" s="15" t="s">
        <v>24</v>
      </c>
      <c r="G725" s="16"/>
      <c r="H725" s="36">
        <v>355.8</v>
      </c>
      <c r="I725" s="36">
        <f>ROUND(H725-(H725*I2/100),2)</f>
        <v>355.8</v>
      </c>
      <c r="J725" s="17">
        <v>354</v>
      </c>
      <c r="K725" s="18"/>
      <c r="L725" s="18"/>
      <c r="M725" s="20"/>
      <c r="N725" s="37">
        <f t="shared" ref="N725:N730" si="30">I725*M725</f>
        <v>0</v>
      </c>
      <c r="O725" s="21">
        <v>0.20699999999999999</v>
      </c>
      <c r="P725" s="22">
        <v>7.2599999999999997E-4</v>
      </c>
    </row>
    <row r="726" spans="1:16" s="1" customFormat="1" ht="119.1" customHeight="1" outlineLevel="4" x14ac:dyDescent="0.2">
      <c r="A726" s="11">
        <v>196920</v>
      </c>
      <c r="B726" s="12" t="s">
        <v>1398</v>
      </c>
      <c r="C726" s="12" t="s">
        <v>22</v>
      </c>
      <c r="D726" s="13"/>
      <c r="E726" s="14" t="s">
        <v>1399</v>
      </c>
      <c r="F726" s="15" t="s">
        <v>24</v>
      </c>
      <c r="G726" s="16"/>
      <c r="H726" s="36">
        <v>155.6</v>
      </c>
      <c r="I726" s="36">
        <f>ROUND(H726-(H726*I2/100),2)</f>
        <v>155.6</v>
      </c>
      <c r="J726" s="17">
        <v>267</v>
      </c>
      <c r="K726" s="18"/>
      <c r="L726" s="18"/>
      <c r="M726" s="20"/>
      <c r="N726" s="37">
        <f t="shared" si="30"/>
        <v>0</v>
      </c>
      <c r="O726" s="21">
        <v>0.3</v>
      </c>
      <c r="P726" s="22">
        <v>1E-3</v>
      </c>
    </row>
    <row r="727" spans="1:16" s="1" customFormat="1" ht="119.1" customHeight="1" outlineLevel="4" x14ac:dyDescent="0.2">
      <c r="A727" s="11">
        <v>207338</v>
      </c>
      <c r="B727" s="12" t="s">
        <v>1400</v>
      </c>
      <c r="C727" s="12" t="s">
        <v>50</v>
      </c>
      <c r="D727" s="13"/>
      <c r="E727" s="14" t="s">
        <v>1401</v>
      </c>
      <c r="F727" s="15" t="s">
        <v>24</v>
      </c>
      <c r="G727" s="16"/>
      <c r="H727" s="36">
        <v>147.5</v>
      </c>
      <c r="I727" s="36">
        <f>ROUND(H727-(H727*I2/100),2)</f>
        <v>147.5</v>
      </c>
      <c r="J727" s="17">
        <v>40</v>
      </c>
      <c r="K727" s="18"/>
      <c r="L727" s="18"/>
      <c r="M727" s="20"/>
      <c r="N727" s="37">
        <f t="shared" si="30"/>
        <v>0</v>
      </c>
      <c r="O727" s="21">
        <v>0.151</v>
      </c>
      <c r="P727" s="22">
        <v>7.18E-4</v>
      </c>
    </row>
    <row r="728" spans="1:16" s="1" customFormat="1" ht="119.1" customHeight="1" outlineLevel="4" x14ac:dyDescent="0.2">
      <c r="A728" s="11">
        <v>196134</v>
      </c>
      <c r="B728" s="12" t="s">
        <v>1402</v>
      </c>
      <c r="C728" s="12" t="s">
        <v>50</v>
      </c>
      <c r="D728" s="13"/>
      <c r="E728" s="14" t="s">
        <v>1403</v>
      </c>
      <c r="F728" s="15" t="s">
        <v>24</v>
      </c>
      <c r="G728" s="16"/>
      <c r="H728" s="36">
        <v>223.5</v>
      </c>
      <c r="I728" s="36">
        <f>ROUND(H728-(H728*I2/100),2)</f>
        <v>223.5</v>
      </c>
      <c r="J728" s="17">
        <v>377</v>
      </c>
      <c r="K728" s="18"/>
      <c r="L728" s="18"/>
      <c r="M728" s="20"/>
      <c r="N728" s="37">
        <f t="shared" si="30"/>
        <v>0</v>
      </c>
      <c r="O728" s="21">
        <v>0.379</v>
      </c>
      <c r="P728" s="22">
        <v>1.8710000000000001E-3</v>
      </c>
    </row>
    <row r="729" spans="1:16" s="1" customFormat="1" ht="119.1" customHeight="1" outlineLevel="4" x14ac:dyDescent="0.2">
      <c r="A729" s="11">
        <v>189975</v>
      </c>
      <c r="B729" s="12" t="s">
        <v>1404</v>
      </c>
      <c r="C729" s="12" t="s">
        <v>22</v>
      </c>
      <c r="D729" s="13"/>
      <c r="E729" s="14" t="s">
        <v>1405</v>
      </c>
      <c r="F729" s="15" t="s">
        <v>24</v>
      </c>
      <c r="G729" s="16"/>
      <c r="H729" s="36">
        <v>278.60000000000002</v>
      </c>
      <c r="I729" s="36">
        <f>ROUND(H729-(H729*I2/100),2)</f>
        <v>278.60000000000002</v>
      </c>
      <c r="J729" s="17">
        <v>64</v>
      </c>
      <c r="K729" s="18"/>
      <c r="L729" s="18"/>
      <c r="M729" s="20"/>
      <c r="N729" s="37">
        <f t="shared" si="30"/>
        <v>0</v>
      </c>
      <c r="O729" s="21">
        <v>0.379</v>
      </c>
      <c r="P729" s="22">
        <v>1.8710000000000001E-3</v>
      </c>
    </row>
    <row r="730" spans="1:16" s="1" customFormat="1" ht="119.1" customHeight="1" outlineLevel="4" x14ac:dyDescent="0.2">
      <c r="A730" s="11">
        <v>168114</v>
      </c>
      <c r="B730" s="12" t="s">
        <v>1406</v>
      </c>
      <c r="C730" s="12" t="s">
        <v>22</v>
      </c>
      <c r="D730" s="13"/>
      <c r="E730" s="14" t="s">
        <v>1407</v>
      </c>
      <c r="F730" s="15" t="s">
        <v>24</v>
      </c>
      <c r="G730" s="16"/>
      <c r="H730" s="36">
        <v>362</v>
      </c>
      <c r="I730" s="36">
        <f>ROUND(H730-(H730*I2/100),2)</f>
        <v>362</v>
      </c>
      <c r="J730" s="17">
        <v>139</v>
      </c>
      <c r="K730" s="18"/>
      <c r="L730" s="18"/>
      <c r="M730" s="20"/>
      <c r="N730" s="37">
        <f t="shared" si="30"/>
        <v>0</v>
      </c>
      <c r="O730" s="21">
        <v>0.41699999999999998</v>
      </c>
      <c r="P730" s="22">
        <v>1.7099999999999999E-3</v>
      </c>
    </row>
    <row r="731" spans="1:16" s="8" customFormat="1" ht="15.95" customHeight="1" outlineLevel="3" x14ac:dyDescent="0.25">
      <c r="A731" s="9"/>
      <c r="B731" s="10"/>
      <c r="C731" s="10"/>
      <c r="D731" s="10" t="s">
        <v>1408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 spans="1:16" s="1" customFormat="1" ht="119.1" customHeight="1" outlineLevel="4" x14ac:dyDescent="0.2">
      <c r="A732" s="11">
        <v>216822</v>
      </c>
      <c r="B732" s="12" t="s">
        <v>1409</v>
      </c>
      <c r="C732" s="12" t="s">
        <v>50</v>
      </c>
      <c r="D732" s="13"/>
      <c r="E732" s="14" t="s">
        <v>1410</v>
      </c>
      <c r="F732" s="15" t="s">
        <v>24</v>
      </c>
      <c r="G732" s="16"/>
      <c r="H732" s="36">
        <v>121.7</v>
      </c>
      <c r="I732" s="36">
        <f>ROUND(H732-(H732*I2/100),2)</f>
        <v>121.7</v>
      </c>
      <c r="J732" s="17">
        <v>43</v>
      </c>
      <c r="K732" s="18"/>
      <c r="L732" s="18"/>
      <c r="M732" s="20"/>
      <c r="N732" s="37">
        <f t="shared" ref="N732:N771" si="31">I732*M732</f>
        <v>0</v>
      </c>
      <c r="O732" s="21">
        <v>0.14799999999999999</v>
      </c>
      <c r="P732" s="22">
        <v>4.3639999999999998E-3</v>
      </c>
    </row>
    <row r="733" spans="1:16" s="1" customFormat="1" ht="119.1" customHeight="1" outlineLevel="4" x14ac:dyDescent="0.2">
      <c r="A733" s="11">
        <v>216943</v>
      </c>
      <c r="B733" s="12" t="s">
        <v>1411</v>
      </c>
      <c r="C733" s="12" t="s">
        <v>50</v>
      </c>
      <c r="D733" s="13"/>
      <c r="E733" s="14" t="s">
        <v>1412</v>
      </c>
      <c r="F733" s="15" t="s">
        <v>24</v>
      </c>
      <c r="G733" s="16"/>
      <c r="H733" s="36">
        <v>90.6</v>
      </c>
      <c r="I733" s="36">
        <f>ROUND(H733-(H733*I2/100),2)</f>
        <v>90.6</v>
      </c>
      <c r="J733" s="17">
        <v>21</v>
      </c>
      <c r="K733" s="18"/>
      <c r="L733" s="18"/>
      <c r="M733" s="20"/>
      <c r="N733" s="37">
        <f t="shared" si="31"/>
        <v>0</v>
      </c>
      <c r="O733" s="21">
        <v>8.1000000000000003E-2</v>
      </c>
      <c r="P733" s="22">
        <v>3.4400000000000001E-4</v>
      </c>
    </row>
    <row r="734" spans="1:16" s="1" customFormat="1" ht="119.1" customHeight="1" outlineLevel="4" x14ac:dyDescent="0.2">
      <c r="A734" s="11">
        <v>203682</v>
      </c>
      <c r="B734" s="12" t="s">
        <v>1413</v>
      </c>
      <c r="C734" s="12" t="s">
        <v>22</v>
      </c>
      <c r="D734" s="13"/>
      <c r="E734" s="14" t="s">
        <v>1414</v>
      </c>
      <c r="F734" s="15" t="s">
        <v>24</v>
      </c>
      <c r="G734" s="16"/>
      <c r="H734" s="36">
        <v>72.400000000000006</v>
      </c>
      <c r="I734" s="36">
        <f>ROUND(H734-(H734*I2/100),2)</f>
        <v>72.400000000000006</v>
      </c>
      <c r="J734" s="17">
        <v>191</v>
      </c>
      <c r="K734" s="18"/>
      <c r="L734" s="18"/>
      <c r="M734" s="20"/>
      <c r="N734" s="37">
        <f t="shared" si="31"/>
        <v>0</v>
      </c>
      <c r="O734" s="21">
        <v>0.05</v>
      </c>
      <c r="P734" s="22">
        <v>4.3199999999999998E-4</v>
      </c>
    </row>
    <row r="735" spans="1:16" s="1" customFormat="1" ht="119.1" customHeight="1" outlineLevel="4" x14ac:dyDescent="0.2">
      <c r="A735" s="11">
        <v>197293</v>
      </c>
      <c r="B735" s="12" t="s">
        <v>1415</v>
      </c>
      <c r="C735" s="12" t="s">
        <v>50</v>
      </c>
      <c r="D735" s="13"/>
      <c r="E735" s="14" t="s">
        <v>1416</v>
      </c>
      <c r="F735" s="15" t="s">
        <v>24</v>
      </c>
      <c r="G735" s="16"/>
      <c r="H735" s="36">
        <v>46.5</v>
      </c>
      <c r="I735" s="36">
        <f>ROUND(H735-(H735*I2/100),2)</f>
        <v>46.5</v>
      </c>
      <c r="J735" s="17">
        <v>75</v>
      </c>
      <c r="K735" s="18"/>
      <c r="L735" s="18"/>
      <c r="M735" s="20"/>
      <c r="N735" s="37">
        <f t="shared" si="31"/>
        <v>0</v>
      </c>
      <c r="O735" s="21">
        <v>0.47199999999999998</v>
      </c>
      <c r="P735" s="22">
        <v>3.7800000000000003E-4</v>
      </c>
    </row>
    <row r="736" spans="1:16" s="1" customFormat="1" ht="119.1" customHeight="1" outlineLevel="4" x14ac:dyDescent="0.2">
      <c r="A736" s="11">
        <v>191243</v>
      </c>
      <c r="B736" s="12" t="s">
        <v>1417</v>
      </c>
      <c r="C736" s="12" t="s">
        <v>22</v>
      </c>
      <c r="D736" s="13"/>
      <c r="E736" s="14" t="s">
        <v>1418</v>
      </c>
      <c r="F736" s="15" t="s">
        <v>24</v>
      </c>
      <c r="G736" s="16"/>
      <c r="H736" s="36">
        <v>92.5</v>
      </c>
      <c r="I736" s="36">
        <f>ROUND(H736-(H736*I2/100),2)</f>
        <v>92.5</v>
      </c>
      <c r="J736" s="17">
        <v>2</v>
      </c>
      <c r="K736" s="18"/>
      <c r="L736" s="18"/>
      <c r="M736" s="20"/>
      <c r="N736" s="37">
        <f t="shared" si="31"/>
        <v>0</v>
      </c>
      <c r="O736" s="21">
        <v>7.9000000000000001E-2</v>
      </c>
      <c r="P736" s="22">
        <v>1.85E-4</v>
      </c>
    </row>
    <row r="737" spans="1:16" s="1" customFormat="1" ht="119.1" customHeight="1" outlineLevel="4" x14ac:dyDescent="0.2">
      <c r="A737" s="11">
        <v>196152</v>
      </c>
      <c r="B737" s="12" t="s">
        <v>1419</v>
      </c>
      <c r="C737" s="12" t="s">
        <v>50</v>
      </c>
      <c r="D737" s="13"/>
      <c r="E737" s="14" t="s">
        <v>1420</v>
      </c>
      <c r="F737" s="15" t="s">
        <v>24</v>
      </c>
      <c r="G737" s="16"/>
      <c r="H737" s="36">
        <v>59.6</v>
      </c>
      <c r="I737" s="36">
        <f>ROUND(H737-(H737*I2/100),2)</f>
        <v>59.6</v>
      </c>
      <c r="J737" s="17">
        <v>399</v>
      </c>
      <c r="K737" s="18"/>
      <c r="L737" s="18"/>
      <c r="M737" s="20"/>
      <c r="N737" s="37">
        <f t="shared" si="31"/>
        <v>0</v>
      </c>
      <c r="O737" s="21">
        <v>7.4999999999999997E-2</v>
      </c>
      <c r="P737" s="22">
        <v>5.6700000000000001E-4</v>
      </c>
    </row>
    <row r="738" spans="1:16" s="1" customFormat="1" ht="119.1" customHeight="1" outlineLevel="4" x14ac:dyDescent="0.2">
      <c r="A738" s="11">
        <v>197294</v>
      </c>
      <c r="B738" s="12" t="s">
        <v>1421</v>
      </c>
      <c r="C738" s="12" t="s">
        <v>50</v>
      </c>
      <c r="D738" s="13"/>
      <c r="E738" s="14" t="s">
        <v>1422</v>
      </c>
      <c r="F738" s="15" t="s">
        <v>24</v>
      </c>
      <c r="G738" s="16"/>
      <c r="H738" s="36">
        <v>56.7</v>
      </c>
      <c r="I738" s="36">
        <f>ROUND(H738-(H738*I2/100),2)</f>
        <v>56.7</v>
      </c>
      <c r="J738" s="17">
        <v>53</v>
      </c>
      <c r="K738" s="18"/>
      <c r="L738" s="18"/>
      <c r="M738" s="20"/>
      <c r="N738" s="37">
        <f t="shared" si="31"/>
        <v>0</v>
      </c>
      <c r="O738" s="21">
        <v>7.1999999999999995E-2</v>
      </c>
      <c r="P738" s="22">
        <v>9.5600000000000004E-4</v>
      </c>
    </row>
    <row r="739" spans="1:16" s="1" customFormat="1" ht="119.1" customHeight="1" outlineLevel="4" x14ac:dyDescent="0.2">
      <c r="A739" s="11">
        <v>215533</v>
      </c>
      <c r="B739" s="12" t="s">
        <v>1423</v>
      </c>
      <c r="C739" s="12" t="s">
        <v>22</v>
      </c>
      <c r="D739" s="13"/>
      <c r="E739" s="14" t="s">
        <v>1424</v>
      </c>
      <c r="F739" s="15" t="s">
        <v>24</v>
      </c>
      <c r="G739" s="16"/>
      <c r="H739" s="36">
        <v>93.7</v>
      </c>
      <c r="I739" s="36">
        <f>ROUND(H739-(H739*I2/100),2)</f>
        <v>93.7</v>
      </c>
      <c r="J739" s="17">
        <v>329</v>
      </c>
      <c r="K739" s="18"/>
      <c r="L739" s="18"/>
      <c r="M739" s="20"/>
      <c r="N739" s="37">
        <f t="shared" si="31"/>
        <v>0</v>
      </c>
      <c r="O739" s="21">
        <v>0.1</v>
      </c>
      <c r="P739" s="22">
        <v>2.0000000000000001E-4</v>
      </c>
    </row>
    <row r="740" spans="1:16" s="1" customFormat="1" ht="119.1" customHeight="1" outlineLevel="4" x14ac:dyDescent="0.2">
      <c r="A740" s="11">
        <v>196295</v>
      </c>
      <c r="B740" s="12" t="s">
        <v>1425</v>
      </c>
      <c r="C740" s="12" t="s">
        <v>50</v>
      </c>
      <c r="D740" s="13"/>
      <c r="E740" s="14" t="s">
        <v>1426</v>
      </c>
      <c r="F740" s="15" t="s">
        <v>24</v>
      </c>
      <c r="G740" s="16"/>
      <c r="H740" s="36">
        <v>45.2</v>
      </c>
      <c r="I740" s="36">
        <f>ROUND(H740-(H740*I2/100),2)</f>
        <v>45.2</v>
      </c>
      <c r="J740" s="17">
        <v>842</v>
      </c>
      <c r="K740" s="18"/>
      <c r="L740" s="18"/>
      <c r="M740" s="20"/>
      <c r="N740" s="37">
        <f t="shared" si="31"/>
        <v>0</v>
      </c>
      <c r="O740" s="21">
        <v>4.7E-2</v>
      </c>
      <c r="P740" s="22">
        <v>3.7800000000000003E-4</v>
      </c>
    </row>
    <row r="741" spans="1:16" s="1" customFormat="1" ht="119.1" customHeight="1" outlineLevel="4" x14ac:dyDescent="0.2">
      <c r="A741" s="11">
        <v>196151</v>
      </c>
      <c r="B741" s="12" t="s">
        <v>1427</v>
      </c>
      <c r="C741" s="12" t="s">
        <v>50</v>
      </c>
      <c r="D741" s="13"/>
      <c r="E741" s="14" t="s">
        <v>1428</v>
      </c>
      <c r="F741" s="15" t="s">
        <v>24</v>
      </c>
      <c r="G741" s="16"/>
      <c r="H741" s="36">
        <v>63.9</v>
      </c>
      <c r="I741" s="36">
        <f>ROUND(H741-(H741*I2/100),2)</f>
        <v>63.9</v>
      </c>
      <c r="J741" s="17">
        <v>619</v>
      </c>
      <c r="K741" s="18"/>
      <c r="L741" s="18"/>
      <c r="M741" s="20"/>
      <c r="N741" s="37">
        <f t="shared" si="31"/>
        <v>0</v>
      </c>
      <c r="O741" s="21">
        <v>9.7000000000000003E-2</v>
      </c>
      <c r="P741" s="22">
        <v>5.6700000000000001E-4</v>
      </c>
    </row>
    <row r="742" spans="1:16" s="1" customFormat="1" ht="119.1" customHeight="1" outlineLevel="4" x14ac:dyDescent="0.2">
      <c r="A742" s="11">
        <v>191244</v>
      </c>
      <c r="B742" s="12" t="s">
        <v>1429</v>
      </c>
      <c r="C742" s="12" t="s">
        <v>22</v>
      </c>
      <c r="D742" s="13"/>
      <c r="E742" s="14" t="s">
        <v>1430</v>
      </c>
      <c r="F742" s="15" t="s">
        <v>24</v>
      </c>
      <c r="G742" s="16"/>
      <c r="H742" s="36">
        <v>115.3</v>
      </c>
      <c r="I742" s="36">
        <f>ROUND(H742-(H742*I2/100),2)</f>
        <v>115.3</v>
      </c>
      <c r="J742" s="17">
        <v>871</v>
      </c>
      <c r="K742" s="18"/>
      <c r="L742" s="18"/>
      <c r="M742" s="20"/>
      <c r="N742" s="37">
        <f t="shared" si="31"/>
        <v>0</v>
      </c>
      <c r="O742" s="21">
        <v>0.10199999999999999</v>
      </c>
      <c r="P742" s="22">
        <v>2.9999999999999997E-4</v>
      </c>
    </row>
    <row r="743" spans="1:16" s="1" customFormat="1" ht="119.1" customHeight="1" outlineLevel="4" x14ac:dyDescent="0.2">
      <c r="A743" s="11">
        <v>197332</v>
      </c>
      <c r="B743" s="12" t="s">
        <v>1431</v>
      </c>
      <c r="C743" s="12" t="s">
        <v>50</v>
      </c>
      <c r="D743" s="13"/>
      <c r="E743" s="14" t="s">
        <v>1432</v>
      </c>
      <c r="F743" s="15" t="s">
        <v>24</v>
      </c>
      <c r="G743" s="16"/>
      <c r="H743" s="36">
        <v>68.900000000000006</v>
      </c>
      <c r="I743" s="36">
        <f>ROUND(H743-(H743*I2/100),2)</f>
        <v>68.900000000000006</v>
      </c>
      <c r="J743" s="17">
        <v>847</v>
      </c>
      <c r="K743" s="18"/>
      <c r="L743" s="18"/>
      <c r="M743" s="20"/>
      <c r="N743" s="37">
        <f t="shared" si="31"/>
        <v>0</v>
      </c>
      <c r="O743" s="21">
        <v>0.106</v>
      </c>
      <c r="P743" s="22">
        <v>7.5950000000000002E-3</v>
      </c>
    </row>
    <row r="744" spans="1:16" s="1" customFormat="1" ht="119.1" customHeight="1" outlineLevel="4" x14ac:dyDescent="0.2">
      <c r="A744" s="11">
        <v>198577</v>
      </c>
      <c r="B744" s="12" t="s">
        <v>1433</v>
      </c>
      <c r="C744" s="12" t="s">
        <v>22</v>
      </c>
      <c r="D744" s="13"/>
      <c r="E744" s="14" t="s">
        <v>1434</v>
      </c>
      <c r="F744" s="15" t="s">
        <v>24</v>
      </c>
      <c r="G744" s="16"/>
      <c r="H744" s="36">
        <v>122.5</v>
      </c>
      <c r="I744" s="36">
        <f>ROUND(H744-(H744*I2/100),2)</f>
        <v>122.5</v>
      </c>
      <c r="J744" s="27">
        <v>1407</v>
      </c>
      <c r="K744" s="18"/>
      <c r="L744" s="18"/>
      <c r="M744" s="20"/>
      <c r="N744" s="37">
        <f t="shared" si="31"/>
        <v>0</v>
      </c>
      <c r="O744" s="21">
        <v>0.123</v>
      </c>
      <c r="P744" s="22">
        <v>4.9799999999999996E-4</v>
      </c>
    </row>
    <row r="745" spans="1:16" s="1" customFormat="1" ht="119.1" customHeight="1" outlineLevel="4" x14ac:dyDescent="0.2">
      <c r="A745" s="11">
        <v>196294</v>
      </c>
      <c r="B745" s="12" t="s">
        <v>1435</v>
      </c>
      <c r="C745" s="12" t="s">
        <v>50</v>
      </c>
      <c r="D745" s="13"/>
      <c r="E745" s="14" t="s">
        <v>1436</v>
      </c>
      <c r="F745" s="15" t="s">
        <v>24</v>
      </c>
      <c r="G745" s="16"/>
      <c r="H745" s="36">
        <v>71</v>
      </c>
      <c r="I745" s="36">
        <f>ROUND(H745-(H745*I2/100),2)</f>
        <v>71</v>
      </c>
      <c r="J745" s="17">
        <v>741</v>
      </c>
      <c r="K745" s="18"/>
      <c r="L745" s="18"/>
      <c r="M745" s="20"/>
      <c r="N745" s="37">
        <f t="shared" si="31"/>
        <v>0</v>
      </c>
      <c r="O745" s="21">
        <v>0.115</v>
      </c>
      <c r="P745" s="22">
        <v>8.3299999999999997E-4</v>
      </c>
    </row>
    <row r="746" spans="1:16" s="1" customFormat="1" ht="119.1" customHeight="1" outlineLevel="4" x14ac:dyDescent="0.2">
      <c r="A746" s="11">
        <v>186182</v>
      </c>
      <c r="B746" s="12" t="s">
        <v>1437</v>
      </c>
      <c r="C746" s="12" t="s">
        <v>22</v>
      </c>
      <c r="D746" s="13"/>
      <c r="E746" s="14" t="s">
        <v>1438</v>
      </c>
      <c r="F746" s="15" t="s">
        <v>24</v>
      </c>
      <c r="G746" s="16"/>
      <c r="H746" s="36">
        <v>173.5</v>
      </c>
      <c r="I746" s="36">
        <f>ROUND(H746-(H746*I2/100),2)</f>
        <v>173.5</v>
      </c>
      <c r="J746" s="17">
        <v>86</v>
      </c>
      <c r="K746" s="18"/>
      <c r="L746" s="18"/>
      <c r="M746" s="20"/>
      <c r="N746" s="37">
        <f t="shared" si="31"/>
        <v>0</v>
      </c>
      <c r="O746" s="21">
        <v>0.16200000000000001</v>
      </c>
      <c r="P746" s="22">
        <v>6.8400000000000004E-4</v>
      </c>
    </row>
    <row r="747" spans="1:16" s="1" customFormat="1" ht="119.1" customHeight="1" outlineLevel="4" x14ac:dyDescent="0.2">
      <c r="A747" s="11">
        <v>215898</v>
      </c>
      <c r="B747" s="12" t="s">
        <v>1439</v>
      </c>
      <c r="C747" s="12" t="s">
        <v>22</v>
      </c>
      <c r="D747" s="13"/>
      <c r="E747" s="14" t="s">
        <v>1440</v>
      </c>
      <c r="F747" s="15" t="s">
        <v>24</v>
      </c>
      <c r="G747" s="16"/>
      <c r="H747" s="36">
        <v>182.5</v>
      </c>
      <c r="I747" s="36">
        <f>ROUND(H747-(H747*I2/100),2)</f>
        <v>182.5</v>
      </c>
      <c r="J747" s="17">
        <v>266</v>
      </c>
      <c r="K747" s="18"/>
      <c r="L747" s="18"/>
      <c r="M747" s="20"/>
      <c r="N747" s="37">
        <f t="shared" si="31"/>
        <v>0</v>
      </c>
      <c r="O747" s="21">
        <v>0.2</v>
      </c>
      <c r="P747" s="22">
        <v>2.0000000000000001E-4</v>
      </c>
    </row>
    <row r="748" spans="1:16" s="1" customFormat="1" ht="119.1" customHeight="1" outlineLevel="4" x14ac:dyDescent="0.2">
      <c r="A748" s="11">
        <v>196150</v>
      </c>
      <c r="B748" s="12" t="s">
        <v>1441</v>
      </c>
      <c r="C748" s="12" t="s">
        <v>50</v>
      </c>
      <c r="D748" s="13"/>
      <c r="E748" s="14" t="s">
        <v>1442</v>
      </c>
      <c r="F748" s="15" t="s">
        <v>24</v>
      </c>
      <c r="G748" s="16"/>
      <c r="H748" s="36">
        <v>110.5</v>
      </c>
      <c r="I748" s="36">
        <f>ROUND(H748-(H748*I2/100),2)</f>
        <v>110.5</v>
      </c>
      <c r="J748" s="17">
        <v>148</v>
      </c>
      <c r="K748" s="18"/>
      <c r="L748" s="18"/>
      <c r="M748" s="20"/>
      <c r="N748" s="37">
        <f t="shared" si="31"/>
        <v>0</v>
      </c>
      <c r="O748" s="21">
        <v>0.14799999999999999</v>
      </c>
      <c r="P748" s="22">
        <v>8.3299999999999997E-4</v>
      </c>
    </row>
    <row r="749" spans="1:16" s="1" customFormat="1" ht="119.1" customHeight="1" outlineLevel="4" x14ac:dyDescent="0.2">
      <c r="A749" s="11">
        <v>169811</v>
      </c>
      <c r="B749" s="12" t="s">
        <v>1443</v>
      </c>
      <c r="C749" s="12" t="s">
        <v>22</v>
      </c>
      <c r="D749" s="13"/>
      <c r="E749" s="14" t="s">
        <v>1444</v>
      </c>
      <c r="F749" s="15" t="s">
        <v>24</v>
      </c>
      <c r="G749" s="16"/>
      <c r="H749" s="36">
        <v>245.1</v>
      </c>
      <c r="I749" s="36">
        <f>ROUND(H749-(H749*I2/100),2)</f>
        <v>245.1</v>
      </c>
      <c r="J749" s="17">
        <v>24</v>
      </c>
      <c r="K749" s="18"/>
      <c r="L749" s="18"/>
      <c r="M749" s="20"/>
      <c r="N749" s="37">
        <f t="shared" si="31"/>
        <v>0</v>
      </c>
      <c r="O749" s="21">
        <v>0.3</v>
      </c>
      <c r="P749" s="22">
        <v>1E-4</v>
      </c>
    </row>
    <row r="750" spans="1:16" s="1" customFormat="1" ht="119.1" customHeight="1" outlineLevel="4" x14ac:dyDescent="0.2">
      <c r="A750" s="11">
        <v>191246</v>
      </c>
      <c r="B750" s="12" t="s">
        <v>1445</v>
      </c>
      <c r="C750" s="12" t="s">
        <v>22</v>
      </c>
      <c r="D750" s="23"/>
      <c r="E750" s="24" t="s">
        <v>1446</v>
      </c>
      <c r="F750" s="25" t="s">
        <v>24</v>
      </c>
      <c r="G750" s="26" t="s">
        <v>39</v>
      </c>
      <c r="H750" s="36">
        <v>125.1</v>
      </c>
      <c r="I750" s="36">
        <f>H750</f>
        <v>125.1</v>
      </c>
      <c r="J750" s="17">
        <v>39</v>
      </c>
      <c r="K750" s="18"/>
      <c r="L750" s="18"/>
      <c r="M750" s="20"/>
      <c r="N750" s="37">
        <f t="shared" si="31"/>
        <v>0</v>
      </c>
      <c r="O750" s="21">
        <v>0.182</v>
      </c>
      <c r="P750" s="22">
        <v>5.1999999999999995E-4</v>
      </c>
    </row>
    <row r="751" spans="1:16" s="1" customFormat="1" ht="119.1" customHeight="1" outlineLevel="4" x14ac:dyDescent="0.2">
      <c r="A751" s="11">
        <v>184844</v>
      </c>
      <c r="B751" s="12" t="s">
        <v>1447</v>
      </c>
      <c r="C751" s="12" t="s">
        <v>22</v>
      </c>
      <c r="D751" s="13"/>
      <c r="E751" s="14" t="s">
        <v>1448</v>
      </c>
      <c r="F751" s="15" t="s">
        <v>24</v>
      </c>
      <c r="G751" s="16"/>
      <c r="H751" s="36">
        <v>170.9</v>
      </c>
      <c r="I751" s="36">
        <f>ROUND(H751-(H751*I2/100),2)</f>
        <v>170.9</v>
      </c>
      <c r="J751" s="17">
        <v>301</v>
      </c>
      <c r="K751" s="18"/>
      <c r="L751" s="18"/>
      <c r="M751" s="20"/>
      <c r="N751" s="37">
        <f t="shared" si="31"/>
        <v>0</v>
      </c>
      <c r="O751" s="21">
        <v>0.182</v>
      </c>
      <c r="P751" s="22">
        <v>6.7400000000000001E-4</v>
      </c>
    </row>
    <row r="752" spans="1:16" s="1" customFormat="1" ht="119.1" customHeight="1" outlineLevel="4" x14ac:dyDescent="0.2">
      <c r="A752" s="11">
        <v>196149</v>
      </c>
      <c r="B752" s="12" t="s">
        <v>1449</v>
      </c>
      <c r="C752" s="12" t="s">
        <v>50</v>
      </c>
      <c r="D752" s="13"/>
      <c r="E752" s="14" t="s">
        <v>1450</v>
      </c>
      <c r="F752" s="15" t="s">
        <v>24</v>
      </c>
      <c r="G752" s="16"/>
      <c r="H752" s="36">
        <v>123.8</v>
      </c>
      <c r="I752" s="36">
        <f>ROUND(H752-(H752*I2/100),2)</f>
        <v>123.8</v>
      </c>
      <c r="J752" s="17">
        <v>8</v>
      </c>
      <c r="K752" s="18"/>
      <c r="L752" s="18"/>
      <c r="M752" s="20"/>
      <c r="N752" s="37">
        <f t="shared" si="31"/>
        <v>0</v>
      </c>
      <c r="O752" s="21">
        <v>0.17399999999999999</v>
      </c>
      <c r="P752" s="22">
        <v>9.5600000000000004E-4</v>
      </c>
    </row>
    <row r="753" spans="1:16" s="1" customFormat="1" ht="119.1" customHeight="1" outlineLevel="4" x14ac:dyDescent="0.2">
      <c r="A753" s="11">
        <v>191251</v>
      </c>
      <c r="B753" s="12" t="s">
        <v>1451</v>
      </c>
      <c r="C753" s="12" t="s">
        <v>22</v>
      </c>
      <c r="D753" s="23"/>
      <c r="E753" s="24" t="s">
        <v>1452</v>
      </c>
      <c r="F753" s="25" t="s">
        <v>24</v>
      </c>
      <c r="G753" s="26" t="s">
        <v>39</v>
      </c>
      <c r="H753" s="36">
        <v>210.68</v>
      </c>
      <c r="I753" s="36">
        <f>H753</f>
        <v>210.68</v>
      </c>
      <c r="J753" s="17">
        <v>54</v>
      </c>
      <c r="K753" s="18"/>
      <c r="L753" s="18"/>
      <c r="M753" s="20"/>
      <c r="N753" s="37">
        <f t="shared" si="31"/>
        <v>0</v>
      </c>
      <c r="O753" s="21">
        <v>0.222</v>
      </c>
      <c r="P753" s="22">
        <v>6.7000000000000002E-4</v>
      </c>
    </row>
    <row r="754" spans="1:16" s="1" customFormat="1" ht="119.1" customHeight="1" outlineLevel="4" x14ac:dyDescent="0.2">
      <c r="A754" s="11">
        <v>169812</v>
      </c>
      <c r="B754" s="12" t="s">
        <v>1453</v>
      </c>
      <c r="C754" s="12" t="s">
        <v>22</v>
      </c>
      <c r="D754" s="13"/>
      <c r="E754" s="14" t="s">
        <v>1454</v>
      </c>
      <c r="F754" s="15" t="s">
        <v>24</v>
      </c>
      <c r="G754" s="16"/>
      <c r="H754" s="36">
        <v>276.3</v>
      </c>
      <c r="I754" s="36">
        <f>ROUND(H754-(H754*I2/100),2)</f>
        <v>276.3</v>
      </c>
      <c r="J754" s="17">
        <v>29</v>
      </c>
      <c r="K754" s="18"/>
      <c r="L754" s="18"/>
      <c r="M754" s="20"/>
      <c r="N754" s="37">
        <f t="shared" si="31"/>
        <v>0</v>
      </c>
      <c r="O754" s="21">
        <v>0.3</v>
      </c>
      <c r="P754" s="22">
        <v>1E-4</v>
      </c>
    </row>
    <row r="755" spans="1:16" s="1" customFormat="1" ht="119.1" customHeight="1" outlineLevel="4" x14ac:dyDescent="0.2">
      <c r="A755" s="11">
        <v>199631</v>
      </c>
      <c r="B755" s="12" t="s">
        <v>1455</v>
      </c>
      <c r="C755" s="12" t="s">
        <v>22</v>
      </c>
      <c r="D755" s="13"/>
      <c r="E755" s="14" t="s">
        <v>1456</v>
      </c>
      <c r="F755" s="15" t="s">
        <v>24</v>
      </c>
      <c r="G755" s="16"/>
      <c r="H755" s="36">
        <v>92.5</v>
      </c>
      <c r="I755" s="36">
        <f>ROUND(H755-(H755*I2/100),2)</f>
        <v>92.5</v>
      </c>
      <c r="J755" s="17">
        <v>22</v>
      </c>
      <c r="K755" s="18"/>
      <c r="L755" s="18"/>
      <c r="M755" s="20"/>
      <c r="N755" s="37">
        <f t="shared" si="31"/>
        <v>0</v>
      </c>
      <c r="O755" s="21">
        <v>0.15</v>
      </c>
      <c r="P755" s="22">
        <v>4.0000000000000002E-4</v>
      </c>
    </row>
    <row r="756" spans="1:16" s="1" customFormat="1" ht="119.1" customHeight="1" outlineLevel="4" x14ac:dyDescent="0.2">
      <c r="A756" s="11">
        <v>201931</v>
      </c>
      <c r="B756" s="12" t="s">
        <v>1457</v>
      </c>
      <c r="C756" s="12" t="s">
        <v>50</v>
      </c>
      <c r="D756" s="13"/>
      <c r="E756" s="14" t="s">
        <v>1458</v>
      </c>
      <c r="F756" s="15" t="s">
        <v>24</v>
      </c>
      <c r="G756" s="16"/>
      <c r="H756" s="36">
        <v>62.8</v>
      </c>
      <c r="I756" s="36">
        <f>ROUND(H756-(H756*I2/100),2)</f>
        <v>62.8</v>
      </c>
      <c r="J756" s="17">
        <v>28</v>
      </c>
      <c r="K756" s="18"/>
      <c r="L756" s="18"/>
      <c r="M756" s="20"/>
      <c r="N756" s="37">
        <f t="shared" si="31"/>
        <v>0</v>
      </c>
      <c r="O756" s="21">
        <v>7.6999999999999999E-2</v>
      </c>
      <c r="P756" s="22">
        <v>5.6699999999999997E-3</v>
      </c>
    </row>
    <row r="757" spans="1:16" s="1" customFormat="1" ht="119.1" customHeight="1" outlineLevel="4" x14ac:dyDescent="0.2">
      <c r="A757" s="11">
        <v>190270</v>
      </c>
      <c r="B757" s="12" t="s">
        <v>1459</v>
      </c>
      <c r="C757" s="12" t="s">
        <v>22</v>
      </c>
      <c r="D757" s="13"/>
      <c r="E757" s="14" t="s">
        <v>1460</v>
      </c>
      <c r="F757" s="15" t="s">
        <v>24</v>
      </c>
      <c r="G757" s="16"/>
      <c r="H757" s="36">
        <v>136.6</v>
      </c>
      <c r="I757" s="36">
        <f>ROUND(H757-(H757*I2/100),2)</f>
        <v>136.6</v>
      </c>
      <c r="J757" s="17">
        <v>150</v>
      </c>
      <c r="K757" s="18"/>
      <c r="L757" s="18"/>
      <c r="M757" s="20"/>
      <c r="N757" s="37">
        <f t="shared" si="31"/>
        <v>0</v>
      </c>
      <c r="O757" s="21">
        <v>0.107</v>
      </c>
      <c r="P757" s="22">
        <v>3.19E-4</v>
      </c>
    </row>
    <row r="758" spans="1:16" s="1" customFormat="1" ht="119.1" customHeight="1" outlineLevel="4" x14ac:dyDescent="0.2">
      <c r="A758" s="11">
        <v>201932</v>
      </c>
      <c r="B758" s="12" t="s">
        <v>1461</v>
      </c>
      <c r="C758" s="12" t="s">
        <v>50</v>
      </c>
      <c r="D758" s="13"/>
      <c r="E758" s="14" t="s">
        <v>1462</v>
      </c>
      <c r="F758" s="15" t="s">
        <v>24</v>
      </c>
      <c r="G758" s="16"/>
      <c r="H758" s="36">
        <v>83.3</v>
      </c>
      <c r="I758" s="36">
        <f>ROUND(H758-(H758*I2/100),2)</f>
        <v>83.3</v>
      </c>
      <c r="J758" s="17">
        <v>65</v>
      </c>
      <c r="K758" s="18"/>
      <c r="L758" s="18"/>
      <c r="M758" s="20"/>
      <c r="N758" s="37">
        <f t="shared" si="31"/>
        <v>0</v>
      </c>
      <c r="O758" s="21">
        <v>0.115</v>
      </c>
      <c r="P758" s="22">
        <v>8.3300000000000006E-3</v>
      </c>
    </row>
    <row r="759" spans="1:16" s="1" customFormat="1" ht="119.1" customHeight="1" outlineLevel="4" x14ac:dyDescent="0.2">
      <c r="A759" s="11">
        <v>184845</v>
      </c>
      <c r="B759" s="12" t="s">
        <v>1463</v>
      </c>
      <c r="C759" s="12" t="s">
        <v>22</v>
      </c>
      <c r="D759" s="13"/>
      <c r="E759" s="14" t="s">
        <v>1464</v>
      </c>
      <c r="F759" s="15" t="s">
        <v>24</v>
      </c>
      <c r="G759" s="16"/>
      <c r="H759" s="36">
        <v>61.1</v>
      </c>
      <c r="I759" s="36">
        <f>ROUND(H759-(H759*I2/100),2)</f>
        <v>61.1</v>
      </c>
      <c r="J759" s="17">
        <v>195</v>
      </c>
      <c r="K759" s="18"/>
      <c r="L759" s="18"/>
      <c r="M759" s="20"/>
      <c r="N759" s="37">
        <f t="shared" si="31"/>
        <v>0</v>
      </c>
      <c r="O759" s="21">
        <v>0.3</v>
      </c>
      <c r="P759" s="22">
        <v>2.0000000000000001E-4</v>
      </c>
    </row>
    <row r="760" spans="1:16" s="1" customFormat="1" ht="119.1" customHeight="1" outlineLevel="4" x14ac:dyDescent="0.2">
      <c r="A760" s="11">
        <v>196297</v>
      </c>
      <c r="B760" s="12" t="s">
        <v>1465</v>
      </c>
      <c r="C760" s="12" t="s">
        <v>50</v>
      </c>
      <c r="D760" s="13"/>
      <c r="E760" s="14" t="s">
        <v>1466</v>
      </c>
      <c r="F760" s="15" t="s">
        <v>24</v>
      </c>
      <c r="G760" s="16"/>
      <c r="H760" s="36">
        <v>77.099999999999994</v>
      </c>
      <c r="I760" s="36">
        <f>ROUND(H760-(H760*I2/100),2)</f>
        <v>77.099999999999994</v>
      </c>
      <c r="J760" s="17">
        <v>64</v>
      </c>
      <c r="K760" s="18"/>
      <c r="L760" s="18"/>
      <c r="M760" s="20"/>
      <c r="N760" s="37">
        <f t="shared" si="31"/>
        <v>0</v>
      </c>
      <c r="O760" s="21">
        <v>0.106</v>
      </c>
      <c r="P760" s="22">
        <v>6.5099999999999999E-4</v>
      </c>
    </row>
    <row r="761" spans="1:16" s="1" customFormat="1" ht="119.1" customHeight="1" outlineLevel="4" x14ac:dyDescent="0.2">
      <c r="A761" s="11">
        <v>215899</v>
      </c>
      <c r="B761" s="12" t="s">
        <v>1467</v>
      </c>
      <c r="C761" s="12" t="s">
        <v>22</v>
      </c>
      <c r="D761" s="13"/>
      <c r="E761" s="14" t="s">
        <v>1468</v>
      </c>
      <c r="F761" s="15" t="s">
        <v>24</v>
      </c>
      <c r="G761" s="16"/>
      <c r="H761" s="36">
        <v>128.6</v>
      </c>
      <c r="I761" s="36">
        <f>ROUND(H761-(H761*I2/100),2)</f>
        <v>128.6</v>
      </c>
      <c r="J761" s="17">
        <v>288</v>
      </c>
      <c r="K761" s="18"/>
      <c r="L761" s="18"/>
      <c r="M761" s="20"/>
      <c r="N761" s="37">
        <f t="shared" si="31"/>
        <v>0</v>
      </c>
      <c r="O761" s="21">
        <v>0.2</v>
      </c>
      <c r="P761" s="22">
        <v>2.0000000000000001E-4</v>
      </c>
    </row>
    <row r="762" spans="1:16" s="1" customFormat="1" ht="119.1" customHeight="1" outlineLevel="4" x14ac:dyDescent="0.2">
      <c r="A762" s="11">
        <v>215900</v>
      </c>
      <c r="B762" s="12" t="s">
        <v>1469</v>
      </c>
      <c r="C762" s="12" t="s">
        <v>22</v>
      </c>
      <c r="D762" s="13"/>
      <c r="E762" s="14" t="s">
        <v>1470</v>
      </c>
      <c r="F762" s="15" t="s">
        <v>24</v>
      </c>
      <c r="G762" s="16"/>
      <c r="H762" s="36">
        <v>92.8</v>
      </c>
      <c r="I762" s="36">
        <f>ROUND(H762-(H762*I2/100),2)</f>
        <v>92.8</v>
      </c>
      <c r="J762" s="17">
        <v>807</v>
      </c>
      <c r="K762" s="18"/>
      <c r="L762" s="18"/>
      <c r="M762" s="20"/>
      <c r="N762" s="37">
        <f t="shared" si="31"/>
        <v>0</v>
      </c>
      <c r="O762" s="21">
        <v>0.2</v>
      </c>
      <c r="P762" s="22">
        <v>2.0000000000000001E-4</v>
      </c>
    </row>
    <row r="763" spans="1:16" s="1" customFormat="1" ht="119.1" customHeight="1" outlineLevel="4" x14ac:dyDescent="0.2">
      <c r="A763" s="11">
        <v>197297</v>
      </c>
      <c r="B763" s="12" t="s">
        <v>1471</v>
      </c>
      <c r="C763" s="12" t="s">
        <v>50</v>
      </c>
      <c r="D763" s="13"/>
      <c r="E763" s="14" t="s">
        <v>1472</v>
      </c>
      <c r="F763" s="15" t="s">
        <v>24</v>
      </c>
      <c r="G763" s="16"/>
      <c r="H763" s="36">
        <v>70.3</v>
      </c>
      <c r="I763" s="36">
        <f>ROUND(H763-(H763*I2/100),2)</f>
        <v>70.3</v>
      </c>
      <c r="J763" s="17">
        <v>35</v>
      </c>
      <c r="K763" s="18"/>
      <c r="L763" s="18"/>
      <c r="M763" s="20"/>
      <c r="N763" s="37">
        <f t="shared" si="31"/>
        <v>0</v>
      </c>
      <c r="O763" s="21">
        <v>8.3000000000000004E-2</v>
      </c>
      <c r="P763" s="22">
        <v>5.6700000000000001E-4</v>
      </c>
    </row>
    <row r="764" spans="1:16" s="1" customFormat="1" ht="119.1" customHeight="1" outlineLevel="4" x14ac:dyDescent="0.2">
      <c r="A764" s="11">
        <v>219284</v>
      </c>
      <c r="B764" s="12" t="s">
        <v>1473</v>
      </c>
      <c r="C764" s="12" t="s">
        <v>22</v>
      </c>
      <c r="D764" s="13"/>
      <c r="E764" s="14" t="s">
        <v>1474</v>
      </c>
      <c r="F764" s="15" t="s">
        <v>24</v>
      </c>
      <c r="G764" s="16"/>
      <c r="H764" s="36">
        <v>122.2</v>
      </c>
      <c r="I764" s="36">
        <f>ROUND(H764-(H764*I2/100),2)</f>
        <v>122.2</v>
      </c>
      <c r="J764" s="17">
        <v>696</v>
      </c>
      <c r="K764" s="18"/>
      <c r="L764" s="18"/>
      <c r="M764" s="20"/>
      <c r="N764" s="37">
        <f t="shared" si="31"/>
        <v>0</v>
      </c>
      <c r="O764" s="21">
        <v>0.2</v>
      </c>
      <c r="P764" s="22">
        <v>2E-3</v>
      </c>
    </row>
    <row r="765" spans="1:16" s="1" customFormat="1" ht="119.1" customHeight="1" outlineLevel="4" x14ac:dyDescent="0.2">
      <c r="A765" s="11">
        <v>197298</v>
      </c>
      <c r="B765" s="12" t="s">
        <v>1475</v>
      </c>
      <c r="C765" s="12" t="s">
        <v>50</v>
      </c>
      <c r="D765" s="13"/>
      <c r="E765" s="14" t="s">
        <v>1476</v>
      </c>
      <c r="F765" s="15" t="s">
        <v>24</v>
      </c>
      <c r="G765" s="16"/>
      <c r="H765" s="36">
        <v>81.3</v>
      </c>
      <c r="I765" s="36">
        <f>ROUND(H765-(H765*I2/100),2)</f>
        <v>81.3</v>
      </c>
      <c r="J765" s="17">
        <v>34</v>
      </c>
      <c r="K765" s="18"/>
      <c r="L765" s="18"/>
      <c r="M765" s="20"/>
      <c r="N765" s="37">
        <f t="shared" si="31"/>
        <v>0</v>
      </c>
      <c r="O765" s="21">
        <v>0.11600000000000001</v>
      </c>
      <c r="P765" s="22">
        <v>8.3299999999999997E-4</v>
      </c>
    </row>
    <row r="766" spans="1:16" s="1" customFormat="1" ht="119.1" customHeight="1" outlineLevel="4" x14ac:dyDescent="0.2">
      <c r="A766" s="11">
        <v>169816</v>
      </c>
      <c r="B766" s="12" t="s">
        <v>1477</v>
      </c>
      <c r="C766" s="12" t="s">
        <v>22</v>
      </c>
      <c r="D766" s="13"/>
      <c r="E766" s="14" t="s">
        <v>1478</v>
      </c>
      <c r="F766" s="15" t="s">
        <v>24</v>
      </c>
      <c r="G766" s="16"/>
      <c r="H766" s="36">
        <v>276.3</v>
      </c>
      <c r="I766" s="36">
        <f>ROUND(H766-(H766*I2/100),2)</f>
        <v>276.3</v>
      </c>
      <c r="J766" s="17">
        <v>41</v>
      </c>
      <c r="K766" s="18"/>
      <c r="L766" s="18"/>
      <c r="M766" s="20"/>
      <c r="N766" s="37">
        <f t="shared" si="31"/>
        <v>0</v>
      </c>
      <c r="O766" s="21">
        <v>0.3</v>
      </c>
      <c r="P766" s="22">
        <v>1E-4</v>
      </c>
    </row>
    <row r="767" spans="1:16" s="1" customFormat="1" ht="119.1" customHeight="1" outlineLevel="4" x14ac:dyDescent="0.2">
      <c r="A767" s="11">
        <v>196292</v>
      </c>
      <c r="B767" s="12" t="s">
        <v>1479</v>
      </c>
      <c r="C767" s="12" t="s">
        <v>50</v>
      </c>
      <c r="D767" s="13"/>
      <c r="E767" s="14" t="s">
        <v>1480</v>
      </c>
      <c r="F767" s="15" t="s">
        <v>24</v>
      </c>
      <c r="G767" s="16"/>
      <c r="H767" s="36">
        <v>77</v>
      </c>
      <c r="I767" s="36">
        <f>ROUND(H767-(H767*I2/100),2)</f>
        <v>77</v>
      </c>
      <c r="J767" s="27">
        <v>1397</v>
      </c>
      <c r="K767" s="18"/>
      <c r="L767" s="18"/>
      <c r="M767" s="20"/>
      <c r="N767" s="37">
        <f t="shared" si="31"/>
        <v>0</v>
      </c>
      <c r="O767" s="21">
        <v>0.06</v>
      </c>
      <c r="P767" s="22">
        <v>1.8900000000000001E-4</v>
      </c>
    </row>
    <row r="768" spans="1:16" s="1" customFormat="1" ht="119.1" customHeight="1" outlineLevel="4" x14ac:dyDescent="0.2">
      <c r="A768" s="11">
        <v>169152</v>
      </c>
      <c r="B768" s="12" t="s">
        <v>1481</v>
      </c>
      <c r="C768" s="12" t="s">
        <v>22</v>
      </c>
      <c r="D768" s="28"/>
      <c r="E768" s="29" t="s">
        <v>1482</v>
      </c>
      <c r="F768" s="30" t="s">
        <v>24</v>
      </c>
      <c r="G768" s="31" t="s">
        <v>209</v>
      </c>
      <c r="H768" s="36">
        <v>118.8</v>
      </c>
      <c r="I768" s="36">
        <f>ROUND(H768-(H768*I2/100),2)</f>
        <v>118.8</v>
      </c>
      <c r="J768" s="17">
        <v>789</v>
      </c>
      <c r="K768" s="18"/>
      <c r="L768" s="18"/>
      <c r="M768" s="20"/>
      <c r="N768" s="37">
        <f t="shared" si="31"/>
        <v>0</v>
      </c>
      <c r="O768" s="21">
        <v>0.08</v>
      </c>
      <c r="P768" s="22">
        <v>3.88E-4</v>
      </c>
    </row>
    <row r="769" spans="1:16" s="1" customFormat="1" ht="119.1" customHeight="1" outlineLevel="4" x14ac:dyDescent="0.2">
      <c r="A769" s="11">
        <v>220369</v>
      </c>
      <c r="B769" s="12" t="s">
        <v>1483</v>
      </c>
      <c r="C769" s="12" t="s">
        <v>22</v>
      </c>
      <c r="D769" s="28"/>
      <c r="E769" s="29" t="s">
        <v>1484</v>
      </c>
      <c r="F769" s="30" t="s">
        <v>24</v>
      </c>
      <c r="G769" s="31" t="s">
        <v>209</v>
      </c>
      <c r="H769" s="36">
        <v>221.3</v>
      </c>
      <c r="I769" s="36">
        <f>ROUND(H769-(H769*I2/100),2)</f>
        <v>221.3</v>
      </c>
      <c r="J769" s="17">
        <v>519</v>
      </c>
      <c r="K769" s="18"/>
      <c r="L769" s="18"/>
      <c r="M769" s="20"/>
      <c r="N769" s="37">
        <f t="shared" si="31"/>
        <v>0</v>
      </c>
      <c r="O769" s="21">
        <v>0.2</v>
      </c>
      <c r="P769" s="22">
        <v>5.0000000000000001E-4</v>
      </c>
    </row>
    <row r="770" spans="1:16" s="1" customFormat="1" ht="119.1" customHeight="1" outlineLevel="4" x14ac:dyDescent="0.2">
      <c r="A770" s="11">
        <v>169153</v>
      </c>
      <c r="B770" s="12" t="s">
        <v>1485</v>
      </c>
      <c r="C770" s="12" t="s">
        <v>22</v>
      </c>
      <c r="D770" s="13"/>
      <c r="E770" s="14" t="s">
        <v>1486</v>
      </c>
      <c r="F770" s="15" t="s">
        <v>24</v>
      </c>
      <c r="G770" s="16"/>
      <c r="H770" s="36">
        <v>149</v>
      </c>
      <c r="I770" s="36">
        <f>ROUND(H770-(H770*I2/100),2)</f>
        <v>149</v>
      </c>
      <c r="J770" s="17">
        <v>493</v>
      </c>
      <c r="K770" s="18"/>
      <c r="L770" s="18"/>
      <c r="M770" s="20"/>
      <c r="N770" s="37">
        <f t="shared" si="31"/>
        <v>0</v>
      </c>
      <c r="O770" s="21">
        <v>0.11600000000000001</v>
      </c>
      <c r="P770" s="22">
        <v>6.11E-4</v>
      </c>
    </row>
    <row r="771" spans="1:16" s="1" customFormat="1" ht="119.1" customHeight="1" outlineLevel="4" x14ac:dyDescent="0.2">
      <c r="A771" s="11">
        <v>197300</v>
      </c>
      <c r="B771" s="12" t="s">
        <v>1487</v>
      </c>
      <c r="C771" s="12" t="s">
        <v>50</v>
      </c>
      <c r="D771" s="13"/>
      <c r="E771" s="14" t="s">
        <v>1488</v>
      </c>
      <c r="F771" s="15" t="s">
        <v>24</v>
      </c>
      <c r="G771" s="16"/>
      <c r="H771" s="36">
        <v>110.1</v>
      </c>
      <c r="I771" s="36">
        <f>ROUND(H771-(H771*I2/100),2)</f>
        <v>110.1</v>
      </c>
      <c r="J771" s="27">
        <v>1352</v>
      </c>
      <c r="K771" s="18"/>
      <c r="L771" s="18"/>
      <c r="M771" s="20"/>
      <c r="N771" s="37">
        <f t="shared" si="31"/>
        <v>0</v>
      </c>
      <c r="O771" s="21">
        <v>0.11</v>
      </c>
      <c r="P771" s="22">
        <v>3.5300000000000002E-4</v>
      </c>
    </row>
    <row r="772" spans="1:16" s="8" customFormat="1" ht="15.95" customHeight="1" outlineLevel="3" x14ac:dyDescent="0.25">
      <c r="A772" s="9"/>
      <c r="B772" s="10"/>
      <c r="C772" s="10"/>
      <c r="D772" s="10" t="s">
        <v>1489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 spans="1:16" s="1" customFormat="1" ht="119.1" customHeight="1" outlineLevel="4" x14ac:dyDescent="0.2">
      <c r="A773" s="11">
        <v>216811</v>
      </c>
      <c r="B773" s="12" t="s">
        <v>1490</v>
      </c>
      <c r="C773" s="12" t="s">
        <v>50</v>
      </c>
      <c r="D773" s="13"/>
      <c r="E773" s="14" t="s">
        <v>1491</v>
      </c>
      <c r="F773" s="15" t="s">
        <v>24</v>
      </c>
      <c r="G773" s="16"/>
      <c r="H773" s="36">
        <v>51.2</v>
      </c>
      <c r="I773" s="36">
        <f>ROUND(H773-(H773*I2/100),2)</f>
        <v>51.2</v>
      </c>
      <c r="J773" s="27">
        <v>1164</v>
      </c>
      <c r="K773" s="18"/>
      <c r="L773" s="18"/>
      <c r="M773" s="20"/>
      <c r="N773" s="37">
        <f t="shared" ref="N773:N785" si="32">I773*M773</f>
        <v>0</v>
      </c>
      <c r="O773" s="21">
        <v>3.3000000000000002E-2</v>
      </c>
      <c r="P773" s="22">
        <v>3.68E-4</v>
      </c>
    </row>
    <row r="774" spans="1:16" s="1" customFormat="1" ht="119.1" customHeight="1" outlineLevel="4" x14ac:dyDescent="0.2">
      <c r="A774" s="11">
        <v>216809</v>
      </c>
      <c r="B774" s="12" t="s">
        <v>1492</v>
      </c>
      <c r="C774" s="12" t="s">
        <v>50</v>
      </c>
      <c r="D774" s="13"/>
      <c r="E774" s="14" t="s">
        <v>1493</v>
      </c>
      <c r="F774" s="15" t="s">
        <v>24</v>
      </c>
      <c r="G774" s="16"/>
      <c r="H774" s="36">
        <v>46.6</v>
      </c>
      <c r="I774" s="36">
        <f>ROUND(H774-(H774*I2/100),2)</f>
        <v>46.6</v>
      </c>
      <c r="J774" s="27">
        <v>1197</v>
      </c>
      <c r="K774" s="18"/>
      <c r="L774" s="18"/>
      <c r="M774" s="20"/>
      <c r="N774" s="37">
        <f t="shared" si="32"/>
        <v>0</v>
      </c>
      <c r="O774" s="21">
        <v>2.1000000000000001E-2</v>
      </c>
      <c r="P774" s="22">
        <v>2.9999999999999997E-4</v>
      </c>
    </row>
    <row r="775" spans="1:16" s="1" customFormat="1" ht="119.1" customHeight="1" outlineLevel="4" x14ac:dyDescent="0.2">
      <c r="A775" s="11">
        <v>210072</v>
      </c>
      <c r="B775" s="12" t="s">
        <v>1494</v>
      </c>
      <c r="C775" s="12" t="s">
        <v>22</v>
      </c>
      <c r="D775" s="28"/>
      <c r="E775" s="29" t="s">
        <v>1495</v>
      </c>
      <c r="F775" s="30" t="s">
        <v>24</v>
      </c>
      <c r="G775" s="31" t="s">
        <v>209</v>
      </c>
      <c r="H775" s="36">
        <v>473.4</v>
      </c>
      <c r="I775" s="36">
        <f>ROUND(H775-(H775*I2/100),2)</f>
        <v>473.4</v>
      </c>
      <c r="J775" s="17">
        <v>210</v>
      </c>
      <c r="K775" s="18"/>
      <c r="L775" s="18"/>
      <c r="M775" s="20"/>
      <c r="N775" s="37">
        <f t="shared" si="32"/>
        <v>0</v>
      </c>
      <c r="O775" s="21">
        <v>6.3E-2</v>
      </c>
      <c r="P775" s="22">
        <v>9.3999999999999997E-4</v>
      </c>
    </row>
    <row r="776" spans="1:16" s="1" customFormat="1" ht="119.1" customHeight="1" outlineLevel="4" x14ac:dyDescent="0.2">
      <c r="A776" s="11">
        <v>188066</v>
      </c>
      <c r="B776" s="12" t="s">
        <v>1496</v>
      </c>
      <c r="C776" s="12" t="s">
        <v>22</v>
      </c>
      <c r="D776" s="13"/>
      <c r="E776" s="14" t="s">
        <v>1497</v>
      </c>
      <c r="F776" s="15" t="s">
        <v>113</v>
      </c>
      <c r="G776" s="16"/>
      <c r="H776" s="36">
        <v>2157.6999999999998</v>
      </c>
      <c r="I776" s="36">
        <f>ROUND(H776-(H776*I2/100),2)</f>
        <v>2157.6999999999998</v>
      </c>
      <c r="J776" s="17">
        <v>3</v>
      </c>
      <c r="K776" s="18"/>
      <c r="L776" s="18"/>
      <c r="M776" s="20"/>
      <c r="N776" s="37">
        <f t="shared" si="32"/>
        <v>0</v>
      </c>
      <c r="O776" s="21">
        <v>0.438</v>
      </c>
      <c r="P776" s="22">
        <v>8.9999999999999998E-4</v>
      </c>
    </row>
    <row r="777" spans="1:16" s="1" customFormat="1" ht="119.1" customHeight="1" outlineLevel="4" x14ac:dyDescent="0.2">
      <c r="A777" s="11">
        <v>187930</v>
      </c>
      <c r="B777" s="12" t="s">
        <v>1498</v>
      </c>
      <c r="C777" s="12" t="s">
        <v>22</v>
      </c>
      <c r="D777" s="13"/>
      <c r="E777" s="14" t="s">
        <v>1499</v>
      </c>
      <c r="F777" s="15" t="s">
        <v>24</v>
      </c>
      <c r="G777" s="16"/>
      <c r="H777" s="36">
        <v>1550.6</v>
      </c>
      <c r="I777" s="36">
        <f>ROUND(H777-(H777*I2/100),2)</f>
        <v>1550.6</v>
      </c>
      <c r="J777" s="17">
        <v>4</v>
      </c>
      <c r="K777" s="18"/>
      <c r="L777" s="18"/>
      <c r="M777" s="20"/>
      <c r="N777" s="37">
        <f t="shared" si="32"/>
        <v>0</v>
      </c>
      <c r="O777" s="21">
        <v>1</v>
      </c>
      <c r="P777" s="22">
        <v>5.0000000000000001E-4</v>
      </c>
    </row>
    <row r="778" spans="1:16" s="1" customFormat="1" ht="119.1" customHeight="1" outlineLevel="4" x14ac:dyDescent="0.2">
      <c r="A778" s="11">
        <v>192225</v>
      </c>
      <c r="B778" s="12" t="s">
        <v>1500</v>
      </c>
      <c r="C778" s="12" t="s">
        <v>22</v>
      </c>
      <c r="D778" s="13"/>
      <c r="E778" s="14" t="s">
        <v>1501</v>
      </c>
      <c r="F778" s="15" t="s">
        <v>24</v>
      </c>
      <c r="G778" s="16"/>
      <c r="H778" s="36">
        <v>146.5</v>
      </c>
      <c r="I778" s="36">
        <f>ROUND(H778-(H778*I2/100),2)</f>
        <v>146.5</v>
      </c>
      <c r="J778" s="17">
        <v>330</v>
      </c>
      <c r="K778" s="18"/>
      <c r="L778" s="18"/>
      <c r="M778" s="20"/>
      <c r="N778" s="37">
        <f t="shared" si="32"/>
        <v>0</v>
      </c>
      <c r="O778" s="21">
        <v>0.11</v>
      </c>
      <c r="P778" s="22">
        <v>2.5700000000000001E-4</v>
      </c>
    </row>
    <row r="779" spans="1:16" s="1" customFormat="1" ht="119.1" customHeight="1" outlineLevel="4" x14ac:dyDescent="0.2">
      <c r="A779" s="11">
        <v>188065</v>
      </c>
      <c r="B779" s="12" t="s">
        <v>1502</v>
      </c>
      <c r="C779" s="12" t="s">
        <v>22</v>
      </c>
      <c r="D779" s="13"/>
      <c r="E779" s="14" t="s">
        <v>1503</v>
      </c>
      <c r="F779" s="15" t="s">
        <v>24</v>
      </c>
      <c r="G779" s="16"/>
      <c r="H779" s="36">
        <v>232.6</v>
      </c>
      <c r="I779" s="36">
        <f>ROUND(H779-(H779*I2/100),2)</f>
        <v>232.6</v>
      </c>
      <c r="J779" s="17">
        <v>694</v>
      </c>
      <c r="K779" s="18"/>
      <c r="L779" s="18"/>
      <c r="M779" s="20"/>
      <c r="N779" s="37">
        <f t="shared" si="32"/>
        <v>0</v>
      </c>
      <c r="O779" s="21">
        <v>0.14599999999999999</v>
      </c>
      <c r="P779" s="22">
        <v>5.5400000000000002E-4</v>
      </c>
    </row>
    <row r="780" spans="1:16" s="1" customFormat="1" ht="119.1" customHeight="1" outlineLevel="4" x14ac:dyDescent="0.2">
      <c r="A780" s="11">
        <v>192227</v>
      </c>
      <c r="B780" s="12" t="s">
        <v>1504</v>
      </c>
      <c r="C780" s="12" t="s">
        <v>22</v>
      </c>
      <c r="D780" s="13"/>
      <c r="E780" s="14" t="s">
        <v>1505</v>
      </c>
      <c r="F780" s="15" t="s">
        <v>24</v>
      </c>
      <c r="G780" s="16"/>
      <c r="H780" s="36">
        <v>149.19999999999999</v>
      </c>
      <c r="I780" s="36">
        <f>ROUND(H780-(H780*I2/100),2)</f>
        <v>149.19999999999999</v>
      </c>
      <c r="J780" s="17">
        <v>390</v>
      </c>
      <c r="K780" s="18"/>
      <c r="L780" s="18"/>
      <c r="M780" s="20"/>
      <c r="N780" s="37">
        <f t="shared" si="32"/>
        <v>0</v>
      </c>
      <c r="O780" s="21">
        <v>0.113</v>
      </c>
      <c r="P780" s="22">
        <v>4.6299999999999998E-4</v>
      </c>
    </row>
    <row r="781" spans="1:16" s="1" customFormat="1" ht="119.1" customHeight="1" outlineLevel="4" x14ac:dyDescent="0.2">
      <c r="A781" s="11">
        <v>187894</v>
      </c>
      <c r="B781" s="12" t="s">
        <v>1506</v>
      </c>
      <c r="C781" s="12" t="s">
        <v>22</v>
      </c>
      <c r="D781" s="13"/>
      <c r="E781" s="14" t="s">
        <v>1507</v>
      </c>
      <c r="F781" s="15" t="s">
        <v>24</v>
      </c>
      <c r="G781" s="16"/>
      <c r="H781" s="36">
        <v>111.9</v>
      </c>
      <c r="I781" s="36">
        <f>ROUND(H781-(H781*I2/100),2)</f>
        <v>111.9</v>
      </c>
      <c r="J781" s="17">
        <v>344</v>
      </c>
      <c r="K781" s="18"/>
      <c r="L781" s="18"/>
      <c r="M781" s="20"/>
      <c r="N781" s="37">
        <f t="shared" si="32"/>
        <v>0</v>
      </c>
      <c r="O781" s="21">
        <v>0.08</v>
      </c>
      <c r="P781" s="22">
        <v>2.9999999999999997E-4</v>
      </c>
    </row>
    <row r="782" spans="1:16" s="1" customFormat="1" ht="119.1" customHeight="1" outlineLevel="4" x14ac:dyDescent="0.2">
      <c r="A782" s="11">
        <v>210073</v>
      </c>
      <c r="B782" s="12" t="s">
        <v>1508</v>
      </c>
      <c r="C782" s="12" t="s">
        <v>22</v>
      </c>
      <c r="D782" s="13"/>
      <c r="E782" s="14" t="s">
        <v>1509</v>
      </c>
      <c r="F782" s="15" t="s">
        <v>24</v>
      </c>
      <c r="G782" s="16"/>
      <c r="H782" s="36">
        <v>723.6</v>
      </c>
      <c r="I782" s="36">
        <f>ROUND(H782-(H782*I2/100),2)</f>
        <v>723.6</v>
      </c>
      <c r="J782" s="17">
        <v>218</v>
      </c>
      <c r="K782" s="18"/>
      <c r="L782" s="18"/>
      <c r="M782" s="20"/>
      <c r="N782" s="37">
        <f t="shared" si="32"/>
        <v>0</v>
      </c>
      <c r="O782" s="21">
        <v>0.10299999999999999</v>
      </c>
      <c r="P782" s="22">
        <v>4.4799999999999996E-3</v>
      </c>
    </row>
    <row r="783" spans="1:16" s="1" customFormat="1" ht="119.1" customHeight="1" outlineLevel="4" x14ac:dyDescent="0.2">
      <c r="A783" s="11">
        <v>170336</v>
      </c>
      <c r="B783" s="12" t="s">
        <v>1510</v>
      </c>
      <c r="C783" s="12" t="s">
        <v>22</v>
      </c>
      <c r="D783" s="13"/>
      <c r="E783" s="14" t="s">
        <v>1511</v>
      </c>
      <c r="F783" s="15" t="s">
        <v>24</v>
      </c>
      <c r="G783" s="16"/>
      <c r="H783" s="36">
        <v>59.6</v>
      </c>
      <c r="I783" s="36">
        <f>ROUND(H783-(H783*I2/100),2)</f>
        <v>59.6</v>
      </c>
      <c r="J783" s="17">
        <v>56</v>
      </c>
      <c r="K783" s="18"/>
      <c r="L783" s="18"/>
      <c r="M783" s="20"/>
      <c r="N783" s="37">
        <f t="shared" si="32"/>
        <v>0</v>
      </c>
      <c r="O783" s="21">
        <v>2.5999999999999999E-2</v>
      </c>
      <c r="P783" s="22">
        <v>2.9999999999999997E-4</v>
      </c>
    </row>
    <row r="784" spans="1:16" s="1" customFormat="1" ht="119.1" customHeight="1" outlineLevel="4" x14ac:dyDescent="0.2">
      <c r="A784" s="11">
        <v>170337</v>
      </c>
      <c r="B784" s="12" t="s">
        <v>1512</v>
      </c>
      <c r="C784" s="12" t="s">
        <v>22</v>
      </c>
      <c r="D784" s="13"/>
      <c r="E784" s="14" t="s">
        <v>1513</v>
      </c>
      <c r="F784" s="15" t="s">
        <v>24</v>
      </c>
      <c r="G784" s="16"/>
      <c r="H784" s="36">
        <v>64</v>
      </c>
      <c r="I784" s="36">
        <f>ROUND(H784-(H784*I2/100),2)</f>
        <v>64</v>
      </c>
      <c r="J784" s="17">
        <v>329</v>
      </c>
      <c r="K784" s="18"/>
      <c r="L784" s="18"/>
      <c r="M784" s="20"/>
      <c r="N784" s="37">
        <f t="shared" si="32"/>
        <v>0</v>
      </c>
      <c r="O784" s="21">
        <v>4.1000000000000002E-2</v>
      </c>
      <c r="P784" s="22">
        <v>3.6499999999999998E-4</v>
      </c>
    </row>
    <row r="785" spans="1:16" s="1" customFormat="1" ht="119.1" customHeight="1" outlineLevel="4" x14ac:dyDescent="0.2">
      <c r="A785" s="11">
        <v>197308</v>
      </c>
      <c r="B785" s="12" t="s">
        <v>1514</v>
      </c>
      <c r="C785" s="12" t="s">
        <v>50</v>
      </c>
      <c r="D785" s="13"/>
      <c r="E785" s="14" t="s">
        <v>1515</v>
      </c>
      <c r="F785" s="15" t="s">
        <v>24</v>
      </c>
      <c r="G785" s="16"/>
      <c r="H785" s="36">
        <v>97.6</v>
      </c>
      <c r="I785" s="36">
        <f>ROUND(H785-(H785*I2/100),2)</f>
        <v>97.6</v>
      </c>
      <c r="J785" s="17">
        <v>178</v>
      </c>
      <c r="K785" s="18"/>
      <c r="L785" s="18"/>
      <c r="M785" s="20"/>
      <c r="N785" s="37">
        <f t="shared" si="32"/>
        <v>0</v>
      </c>
      <c r="O785" s="21">
        <v>0.222</v>
      </c>
      <c r="P785" s="22">
        <v>2.2000000000000001E-4</v>
      </c>
    </row>
    <row r="786" spans="1:16" s="8" customFormat="1" ht="15.95" customHeight="1" outlineLevel="3" x14ac:dyDescent="0.25">
      <c r="A786" s="9"/>
      <c r="B786" s="10"/>
      <c r="C786" s="10"/>
      <c r="D786" s="10" t="s">
        <v>1516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 spans="1:16" s="1" customFormat="1" ht="119.1" customHeight="1" outlineLevel="4" x14ac:dyDescent="0.2">
      <c r="A787" s="11">
        <v>216808</v>
      </c>
      <c r="B787" s="12" t="s">
        <v>1517</v>
      </c>
      <c r="C787" s="12" t="s">
        <v>50</v>
      </c>
      <c r="D787" s="13"/>
      <c r="E787" s="14" t="s">
        <v>1518</v>
      </c>
      <c r="F787" s="15" t="s">
        <v>24</v>
      </c>
      <c r="G787" s="16"/>
      <c r="H787" s="36">
        <v>198.8</v>
      </c>
      <c r="I787" s="36">
        <f>ROUND(H787-(H787*I2/100),2)</f>
        <v>198.8</v>
      </c>
      <c r="J787" s="17">
        <v>101</v>
      </c>
      <c r="K787" s="18"/>
      <c r="L787" s="18"/>
      <c r="M787" s="20"/>
      <c r="N787" s="37">
        <f t="shared" ref="N787:N807" si="33">I787*M787</f>
        <v>0</v>
      </c>
      <c r="O787" s="21">
        <v>0.15</v>
      </c>
      <c r="P787" s="22">
        <v>2.23E-4</v>
      </c>
    </row>
    <row r="788" spans="1:16" s="1" customFormat="1" ht="119.1" customHeight="1" outlineLevel="4" x14ac:dyDescent="0.2">
      <c r="A788" s="11">
        <v>216906</v>
      </c>
      <c r="B788" s="12" t="s">
        <v>1519</v>
      </c>
      <c r="C788" s="12" t="s">
        <v>50</v>
      </c>
      <c r="D788" s="13"/>
      <c r="E788" s="14" t="s">
        <v>1520</v>
      </c>
      <c r="F788" s="15" t="s">
        <v>24</v>
      </c>
      <c r="G788" s="16"/>
      <c r="H788" s="36">
        <v>162.30000000000001</v>
      </c>
      <c r="I788" s="36">
        <f>ROUND(H788-(H788*I2/100),2)</f>
        <v>162.30000000000001</v>
      </c>
      <c r="J788" s="17">
        <v>4</v>
      </c>
      <c r="K788" s="18"/>
      <c r="L788" s="18"/>
      <c r="M788" s="20"/>
      <c r="N788" s="37">
        <f t="shared" si="33"/>
        <v>0</v>
      </c>
      <c r="O788" s="21">
        <v>8.5000000000000006E-2</v>
      </c>
      <c r="P788" s="22">
        <v>2.03E-4</v>
      </c>
    </row>
    <row r="789" spans="1:16" s="1" customFormat="1" ht="119.1" customHeight="1" outlineLevel="4" x14ac:dyDescent="0.2">
      <c r="A789" s="11">
        <v>199652</v>
      </c>
      <c r="B789" s="12" t="s">
        <v>1521</v>
      </c>
      <c r="C789" s="12" t="s">
        <v>22</v>
      </c>
      <c r="D789" s="13"/>
      <c r="E789" s="14" t="s">
        <v>1522</v>
      </c>
      <c r="F789" s="15" t="s">
        <v>113</v>
      </c>
      <c r="G789" s="16"/>
      <c r="H789" s="36">
        <v>183</v>
      </c>
      <c r="I789" s="36">
        <f>ROUND(H789-(H789*I2/100),2)</f>
        <v>183</v>
      </c>
      <c r="J789" s="17">
        <v>201</v>
      </c>
      <c r="K789" s="18"/>
      <c r="L789" s="18"/>
      <c r="M789" s="20"/>
      <c r="N789" s="37">
        <f t="shared" si="33"/>
        <v>0</v>
      </c>
      <c r="O789" s="21">
        <v>0.2</v>
      </c>
      <c r="P789" s="22">
        <v>5.0000000000000001E-4</v>
      </c>
    </row>
    <row r="790" spans="1:16" s="1" customFormat="1" ht="119.1" customHeight="1" outlineLevel="4" x14ac:dyDescent="0.2">
      <c r="A790" s="11">
        <v>165204</v>
      </c>
      <c r="B790" s="12" t="s">
        <v>1523</v>
      </c>
      <c r="C790" s="12" t="s">
        <v>22</v>
      </c>
      <c r="D790" s="13"/>
      <c r="E790" s="14" t="s">
        <v>1524</v>
      </c>
      <c r="F790" s="15" t="s">
        <v>113</v>
      </c>
      <c r="G790" s="16"/>
      <c r="H790" s="36">
        <v>161.69999999999999</v>
      </c>
      <c r="I790" s="36">
        <f>ROUND(H790-(H790*I2/100),2)</f>
        <v>161.69999999999999</v>
      </c>
      <c r="J790" s="27">
        <v>1732</v>
      </c>
      <c r="K790" s="18"/>
      <c r="L790" s="18"/>
      <c r="M790" s="20"/>
      <c r="N790" s="37">
        <f t="shared" si="33"/>
        <v>0</v>
      </c>
      <c r="O790" s="21">
        <v>0.21</v>
      </c>
      <c r="P790" s="22">
        <v>6.1799999999999995E-4</v>
      </c>
    </row>
    <row r="791" spans="1:16" s="1" customFormat="1" ht="119.1" customHeight="1" outlineLevel="4" x14ac:dyDescent="0.2">
      <c r="A791" s="11">
        <v>197327</v>
      </c>
      <c r="B791" s="12" t="s">
        <v>1525</v>
      </c>
      <c r="C791" s="12" t="s">
        <v>50</v>
      </c>
      <c r="D791" s="13"/>
      <c r="E791" s="14" t="s">
        <v>1526</v>
      </c>
      <c r="F791" s="15" t="s">
        <v>113</v>
      </c>
      <c r="G791" s="16"/>
      <c r="H791" s="36">
        <v>95.4</v>
      </c>
      <c r="I791" s="36">
        <f>ROUND(H791-(H791*I2/100),2)</f>
        <v>95.4</v>
      </c>
      <c r="J791" s="17">
        <v>619</v>
      </c>
      <c r="K791" s="18"/>
      <c r="L791" s="18"/>
      <c r="M791" s="20"/>
      <c r="N791" s="37">
        <f t="shared" si="33"/>
        <v>0</v>
      </c>
      <c r="O791" s="21">
        <v>0.1</v>
      </c>
      <c r="P791" s="22">
        <v>6.5099999999999999E-4</v>
      </c>
    </row>
    <row r="792" spans="1:16" s="1" customFormat="1" ht="119.1" customHeight="1" outlineLevel="4" x14ac:dyDescent="0.2">
      <c r="A792" s="11">
        <v>196619</v>
      </c>
      <c r="B792" s="12" t="s">
        <v>1527</v>
      </c>
      <c r="C792" s="12" t="s">
        <v>50</v>
      </c>
      <c r="D792" s="13"/>
      <c r="E792" s="14" t="s">
        <v>1528</v>
      </c>
      <c r="F792" s="15" t="s">
        <v>113</v>
      </c>
      <c r="G792" s="16"/>
      <c r="H792" s="36">
        <v>133</v>
      </c>
      <c r="I792" s="36">
        <f>ROUND(H792-(H792*I2/100),2)</f>
        <v>133</v>
      </c>
      <c r="J792" s="17">
        <v>628</v>
      </c>
      <c r="K792" s="18"/>
      <c r="L792" s="18"/>
      <c r="M792" s="20"/>
      <c r="N792" s="37">
        <f t="shared" si="33"/>
        <v>0</v>
      </c>
      <c r="O792" s="21">
        <v>0.2</v>
      </c>
      <c r="P792" s="22">
        <v>7.5000000000000002E-4</v>
      </c>
    </row>
    <row r="793" spans="1:16" s="1" customFormat="1" ht="119.1" customHeight="1" outlineLevel="4" x14ac:dyDescent="0.2">
      <c r="A793" s="11">
        <v>165206</v>
      </c>
      <c r="B793" s="12" t="s">
        <v>1529</v>
      </c>
      <c r="C793" s="12" t="s">
        <v>22</v>
      </c>
      <c r="D793" s="13"/>
      <c r="E793" s="14" t="s">
        <v>1530</v>
      </c>
      <c r="F793" s="15" t="s">
        <v>113</v>
      </c>
      <c r="G793" s="16"/>
      <c r="H793" s="36">
        <v>286.5</v>
      </c>
      <c r="I793" s="36">
        <f>ROUND(H793-(H793*I2/100),2)</f>
        <v>286.5</v>
      </c>
      <c r="J793" s="17">
        <v>332</v>
      </c>
      <c r="K793" s="18"/>
      <c r="L793" s="18"/>
      <c r="M793" s="20"/>
      <c r="N793" s="37">
        <f t="shared" si="33"/>
        <v>0</v>
      </c>
      <c r="O793" s="21">
        <v>0.38</v>
      </c>
      <c r="P793" s="22">
        <v>1.5629999999999999E-3</v>
      </c>
    </row>
    <row r="794" spans="1:16" s="1" customFormat="1" ht="119.1" customHeight="1" outlineLevel="4" x14ac:dyDescent="0.2">
      <c r="A794" s="11">
        <v>151352</v>
      </c>
      <c r="B794" s="12" t="s">
        <v>1531</v>
      </c>
      <c r="C794" s="12" t="s">
        <v>22</v>
      </c>
      <c r="D794" s="13"/>
      <c r="E794" s="14" t="s">
        <v>1532</v>
      </c>
      <c r="F794" s="15" t="s">
        <v>113</v>
      </c>
      <c r="G794" s="16"/>
      <c r="H794" s="36">
        <v>455.6</v>
      </c>
      <c r="I794" s="36">
        <f>ROUND(H794-(H794*I2/100),2)</f>
        <v>455.6</v>
      </c>
      <c r="J794" s="17">
        <v>190</v>
      </c>
      <c r="K794" s="18"/>
      <c r="L794" s="18"/>
      <c r="M794" s="20"/>
      <c r="N794" s="37">
        <f t="shared" si="33"/>
        <v>0</v>
      </c>
      <c r="O794" s="21">
        <v>0.52</v>
      </c>
      <c r="P794" s="22">
        <v>2.5079999999999998E-3</v>
      </c>
    </row>
    <row r="795" spans="1:16" s="1" customFormat="1" ht="119.1" customHeight="1" outlineLevel="4" x14ac:dyDescent="0.2">
      <c r="A795" s="11">
        <v>167360</v>
      </c>
      <c r="B795" s="12" t="s">
        <v>1533</v>
      </c>
      <c r="C795" s="12" t="s">
        <v>22</v>
      </c>
      <c r="D795" s="13"/>
      <c r="E795" s="14" t="s">
        <v>1534</v>
      </c>
      <c r="F795" s="15" t="s">
        <v>113</v>
      </c>
      <c r="G795" s="16"/>
      <c r="H795" s="36">
        <v>578.9</v>
      </c>
      <c r="I795" s="36">
        <f>ROUND(H795-(H795*I2/100),2)</f>
        <v>578.9</v>
      </c>
      <c r="J795" s="17">
        <v>365</v>
      </c>
      <c r="K795" s="18"/>
      <c r="L795" s="18"/>
      <c r="M795" s="20"/>
      <c r="N795" s="37">
        <f t="shared" si="33"/>
        <v>0</v>
      </c>
      <c r="O795" s="21">
        <v>0.55800000000000005</v>
      </c>
      <c r="P795" s="22">
        <v>2.464E-3</v>
      </c>
    </row>
    <row r="796" spans="1:16" s="1" customFormat="1" ht="119.1" customHeight="1" outlineLevel="4" x14ac:dyDescent="0.2">
      <c r="A796" s="11">
        <v>165207</v>
      </c>
      <c r="B796" s="12" t="s">
        <v>1535</v>
      </c>
      <c r="C796" s="12" t="s">
        <v>22</v>
      </c>
      <c r="D796" s="13"/>
      <c r="E796" s="14" t="s">
        <v>1536</v>
      </c>
      <c r="F796" s="15" t="s">
        <v>113</v>
      </c>
      <c r="G796" s="16"/>
      <c r="H796" s="36">
        <v>951.4</v>
      </c>
      <c r="I796" s="36">
        <f>ROUND(H796-(H796*I2/100),2)</f>
        <v>951.4</v>
      </c>
      <c r="J796" s="17">
        <v>229</v>
      </c>
      <c r="K796" s="18"/>
      <c r="L796" s="18"/>
      <c r="M796" s="20"/>
      <c r="N796" s="37">
        <f t="shared" si="33"/>
        <v>0</v>
      </c>
      <c r="O796" s="21">
        <v>0.9</v>
      </c>
      <c r="P796" s="22">
        <v>4.8450000000000003E-3</v>
      </c>
    </row>
    <row r="797" spans="1:16" s="1" customFormat="1" ht="119.1" customHeight="1" outlineLevel="4" x14ac:dyDescent="0.2">
      <c r="A797" s="11">
        <v>178131</v>
      </c>
      <c r="B797" s="12" t="s">
        <v>1537</v>
      </c>
      <c r="C797" s="12" t="s">
        <v>22</v>
      </c>
      <c r="D797" s="13"/>
      <c r="E797" s="14" t="s">
        <v>1538</v>
      </c>
      <c r="F797" s="15" t="s">
        <v>113</v>
      </c>
      <c r="G797" s="16"/>
      <c r="H797" s="36">
        <v>2366.1999999999998</v>
      </c>
      <c r="I797" s="36">
        <f>ROUND(H797-(H797*I2/100),2)</f>
        <v>2366.1999999999998</v>
      </c>
      <c r="J797" s="17">
        <v>94</v>
      </c>
      <c r="K797" s="18"/>
      <c r="L797" s="18"/>
      <c r="M797" s="20"/>
      <c r="N797" s="37">
        <f t="shared" si="33"/>
        <v>0</v>
      </c>
      <c r="O797" s="21">
        <v>2.5</v>
      </c>
      <c r="P797" s="22">
        <v>1.5464E-2</v>
      </c>
    </row>
    <row r="798" spans="1:16" s="1" customFormat="1" ht="119.1" customHeight="1" outlineLevel="4" x14ac:dyDescent="0.2">
      <c r="A798" s="11">
        <v>165210</v>
      </c>
      <c r="B798" s="12" t="s">
        <v>1539</v>
      </c>
      <c r="C798" s="12" t="s">
        <v>22</v>
      </c>
      <c r="D798" s="13"/>
      <c r="E798" s="14" t="s">
        <v>1540</v>
      </c>
      <c r="F798" s="15" t="s">
        <v>113</v>
      </c>
      <c r="G798" s="16"/>
      <c r="H798" s="36">
        <v>539.70000000000005</v>
      </c>
      <c r="I798" s="36">
        <f>ROUND(H798-(H798*I2/100),2)</f>
        <v>539.70000000000005</v>
      </c>
      <c r="J798" s="17">
        <v>60</v>
      </c>
      <c r="K798" s="18"/>
      <c r="L798" s="18"/>
      <c r="M798" s="20"/>
      <c r="N798" s="37">
        <f t="shared" si="33"/>
        <v>0</v>
      </c>
      <c r="O798" s="21">
        <v>0.375</v>
      </c>
      <c r="P798" s="22">
        <v>1.707E-3</v>
      </c>
    </row>
    <row r="799" spans="1:16" s="1" customFormat="1" ht="119.1" customHeight="1" outlineLevel="4" x14ac:dyDescent="0.2">
      <c r="A799" s="11">
        <v>197301</v>
      </c>
      <c r="B799" s="12" t="s">
        <v>1541</v>
      </c>
      <c r="C799" s="12" t="s">
        <v>50</v>
      </c>
      <c r="D799" s="13"/>
      <c r="E799" s="14" t="s">
        <v>1542</v>
      </c>
      <c r="F799" s="15" t="s">
        <v>113</v>
      </c>
      <c r="G799" s="16"/>
      <c r="H799" s="36">
        <v>418.9</v>
      </c>
      <c r="I799" s="36">
        <f>ROUND(H799-(H799*I2/100),2)</f>
        <v>418.9</v>
      </c>
      <c r="J799" s="17">
        <v>22</v>
      </c>
      <c r="K799" s="18"/>
      <c r="L799" s="18"/>
      <c r="M799" s="20"/>
      <c r="N799" s="37">
        <f t="shared" si="33"/>
        <v>0</v>
      </c>
      <c r="O799" s="21">
        <v>0.11</v>
      </c>
      <c r="P799" s="22">
        <v>4.66E-4</v>
      </c>
    </row>
    <row r="800" spans="1:16" s="1" customFormat="1" ht="119.1" customHeight="1" outlineLevel="4" x14ac:dyDescent="0.2">
      <c r="A800" s="11">
        <v>212271</v>
      </c>
      <c r="B800" s="12" t="s">
        <v>1543</v>
      </c>
      <c r="C800" s="12" t="s">
        <v>50</v>
      </c>
      <c r="D800" s="13"/>
      <c r="E800" s="14" t="s">
        <v>1544</v>
      </c>
      <c r="F800" s="15" t="s">
        <v>113</v>
      </c>
      <c r="G800" s="16"/>
      <c r="H800" s="36">
        <v>702.8</v>
      </c>
      <c r="I800" s="36">
        <f>ROUND(H800-(H800*I2/100),2)</f>
        <v>702.8</v>
      </c>
      <c r="J800" s="17">
        <v>50</v>
      </c>
      <c r="K800" s="18"/>
      <c r="L800" s="18"/>
      <c r="M800" s="20"/>
      <c r="N800" s="37">
        <f t="shared" si="33"/>
        <v>0</v>
      </c>
      <c r="O800" s="21">
        <v>0.3</v>
      </c>
      <c r="P800" s="22">
        <v>2.0000000000000001E-4</v>
      </c>
    </row>
    <row r="801" spans="1:16" s="1" customFormat="1" ht="119.1" customHeight="1" outlineLevel="4" x14ac:dyDescent="0.2">
      <c r="A801" s="11">
        <v>216960</v>
      </c>
      <c r="B801" s="12" t="s">
        <v>1545</v>
      </c>
      <c r="C801" s="12" t="s">
        <v>50</v>
      </c>
      <c r="D801" s="13"/>
      <c r="E801" s="14" t="s">
        <v>1546</v>
      </c>
      <c r="F801" s="15" t="s">
        <v>113</v>
      </c>
      <c r="G801" s="16"/>
      <c r="H801" s="36">
        <v>778.7</v>
      </c>
      <c r="I801" s="36">
        <f>ROUND(H801-(H801*I2/100),2)</f>
        <v>778.7</v>
      </c>
      <c r="J801" s="17">
        <v>29</v>
      </c>
      <c r="K801" s="18"/>
      <c r="L801" s="18"/>
      <c r="M801" s="20"/>
      <c r="N801" s="37">
        <f t="shared" si="33"/>
        <v>0</v>
      </c>
      <c r="O801" s="21">
        <v>0.56299999999999994</v>
      </c>
      <c r="P801" s="22">
        <v>1.0610000000000001E-3</v>
      </c>
    </row>
    <row r="802" spans="1:16" s="1" customFormat="1" ht="119.1" customHeight="1" outlineLevel="4" x14ac:dyDescent="0.2">
      <c r="A802" s="11">
        <v>196291</v>
      </c>
      <c r="B802" s="12" t="s">
        <v>1547</v>
      </c>
      <c r="C802" s="12" t="s">
        <v>50</v>
      </c>
      <c r="D802" s="13"/>
      <c r="E802" s="14" t="s">
        <v>1548</v>
      </c>
      <c r="F802" s="15" t="s">
        <v>113</v>
      </c>
      <c r="G802" s="16"/>
      <c r="H802" s="36">
        <v>783.8</v>
      </c>
      <c r="I802" s="36">
        <f>ROUND(H802-(H802*I2/100),2)</f>
        <v>783.8</v>
      </c>
      <c r="J802" s="17">
        <v>6</v>
      </c>
      <c r="K802" s="18"/>
      <c r="L802" s="18"/>
      <c r="M802" s="20"/>
      <c r="N802" s="37">
        <f t="shared" si="33"/>
        <v>0</v>
      </c>
      <c r="O802" s="21">
        <v>0.58799999999999997</v>
      </c>
      <c r="P802" s="22">
        <v>1.0610000000000001E-3</v>
      </c>
    </row>
    <row r="803" spans="1:16" s="1" customFormat="1" ht="119.1" customHeight="1" outlineLevel="4" x14ac:dyDescent="0.2">
      <c r="A803" s="11">
        <v>178134</v>
      </c>
      <c r="B803" s="12" t="s">
        <v>1549</v>
      </c>
      <c r="C803" s="12" t="s">
        <v>22</v>
      </c>
      <c r="D803" s="13"/>
      <c r="E803" s="14" t="s">
        <v>1550</v>
      </c>
      <c r="F803" s="15" t="s">
        <v>113</v>
      </c>
      <c r="G803" s="16"/>
      <c r="H803" s="36">
        <v>981.7</v>
      </c>
      <c r="I803" s="36">
        <f>ROUND(H803-(H803*I2/100),2)</f>
        <v>981.7</v>
      </c>
      <c r="J803" s="17">
        <v>72</v>
      </c>
      <c r="K803" s="18"/>
      <c r="L803" s="18"/>
      <c r="M803" s="20"/>
      <c r="N803" s="37">
        <f t="shared" si="33"/>
        <v>0</v>
      </c>
      <c r="O803" s="21">
        <v>0.64600000000000002</v>
      </c>
      <c r="P803" s="22">
        <v>9.6199999999999996E-4</v>
      </c>
    </row>
    <row r="804" spans="1:16" s="1" customFormat="1" ht="119.1" customHeight="1" outlineLevel="4" x14ac:dyDescent="0.2">
      <c r="A804" s="11">
        <v>183770</v>
      </c>
      <c r="B804" s="12" t="s">
        <v>1551</v>
      </c>
      <c r="C804" s="12" t="s">
        <v>22</v>
      </c>
      <c r="D804" s="13"/>
      <c r="E804" s="14" t="s">
        <v>1552</v>
      </c>
      <c r="F804" s="15" t="s">
        <v>113</v>
      </c>
      <c r="G804" s="16"/>
      <c r="H804" s="36">
        <v>234.7</v>
      </c>
      <c r="I804" s="36">
        <f>ROUND(H804-(H804*I2/100),2)</f>
        <v>234.7</v>
      </c>
      <c r="J804" s="17">
        <v>238</v>
      </c>
      <c r="K804" s="18"/>
      <c r="L804" s="18"/>
      <c r="M804" s="20"/>
      <c r="N804" s="37">
        <f t="shared" si="33"/>
        <v>0</v>
      </c>
      <c r="O804" s="21">
        <v>0.14599999999999999</v>
      </c>
      <c r="P804" s="22">
        <v>1.92E-4</v>
      </c>
    </row>
    <row r="805" spans="1:16" s="1" customFormat="1" ht="119.1" customHeight="1" outlineLevel="4" x14ac:dyDescent="0.2">
      <c r="A805" s="11">
        <v>190273</v>
      </c>
      <c r="B805" s="12" t="s">
        <v>1553</v>
      </c>
      <c r="C805" s="12" t="s">
        <v>22</v>
      </c>
      <c r="D805" s="13"/>
      <c r="E805" s="14" t="s">
        <v>1554</v>
      </c>
      <c r="F805" s="15" t="s">
        <v>113</v>
      </c>
      <c r="G805" s="16"/>
      <c r="H805" s="36">
        <v>312.10000000000002</v>
      </c>
      <c r="I805" s="36">
        <f>ROUND(H805-(H805*I2/100),2)</f>
        <v>312.10000000000002</v>
      </c>
      <c r="J805" s="17">
        <v>315</v>
      </c>
      <c r="K805" s="18"/>
      <c r="L805" s="18"/>
      <c r="M805" s="20"/>
      <c r="N805" s="37">
        <f t="shared" si="33"/>
        <v>0</v>
      </c>
      <c r="O805" s="21">
        <v>0.218</v>
      </c>
      <c r="P805" s="22">
        <v>1.152E-3</v>
      </c>
    </row>
    <row r="806" spans="1:16" s="1" customFormat="1" ht="119.1" customHeight="1" outlineLevel="4" x14ac:dyDescent="0.2">
      <c r="A806" s="11">
        <v>198544</v>
      </c>
      <c r="B806" s="12" t="s">
        <v>1555</v>
      </c>
      <c r="C806" s="12" t="s">
        <v>50</v>
      </c>
      <c r="D806" s="13"/>
      <c r="E806" s="14" t="s">
        <v>1556</v>
      </c>
      <c r="F806" s="15" t="s">
        <v>113</v>
      </c>
      <c r="G806" s="16"/>
      <c r="H806" s="36">
        <v>1353.9</v>
      </c>
      <c r="I806" s="36">
        <f>ROUND(H806-(H806*I2/100),2)</f>
        <v>1353.9</v>
      </c>
      <c r="J806" s="17">
        <v>20</v>
      </c>
      <c r="K806" s="18"/>
      <c r="L806" s="18"/>
      <c r="M806" s="20"/>
      <c r="N806" s="37">
        <f t="shared" si="33"/>
        <v>0</v>
      </c>
      <c r="O806" s="21">
        <v>1.0309999999999999</v>
      </c>
      <c r="P806" s="22">
        <v>3.7500000000000001E-4</v>
      </c>
    </row>
    <row r="807" spans="1:16" s="1" customFormat="1" ht="119.1" customHeight="1" outlineLevel="4" x14ac:dyDescent="0.2">
      <c r="A807" s="11">
        <v>216928</v>
      </c>
      <c r="B807" s="12" t="s">
        <v>1557</v>
      </c>
      <c r="C807" s="12" t="s">
        <v>50</v>
      </c>
      <c r="D807" s="13"/>
      <c r="E807" s="14" t="s">
        <v>1558</v>
      </c>
      <c r="F807" s="15" t="s">
        <v>24</v>
      </c>
      <c r="G807" s="16"/>
      <c r="H807" s="36">
        <v>92</v>
      </c>
      <c r="I807" s="36">
        <f>ROUND(H807-(H807*I2/100),2)</f>
        <v>92</v>
      </c>
      <c r="J807" s="17">
        <v>19</v>
      </c>
      <c r="K807" s="18"/>
      <c r="L807" s="18"/>
      <c r="M807" s="20"/>
      <c r="N807" s="37">
        <f t="shared" si="33"/>
        <v>0</v>
      </c>
      <c r="O807" s="21">
        <v>8.8999999999999996E-2</v>
      </c>
      <c r="P807" s="22">
        <v>1.7200000000000001E-4</v>
      </c>
    </row>
    <row r="808" spans="1:16" s="8" customFormat="1" ht="15.95" customHeight="1" outlineLevel="3" x14ac:dyDescent="0.25">
      <c r="A808" s="9"/>
      <c r="B808" s="10"/>
      <c r="C808" s="10"/>
      <c r="D808" s="10" t="s">
        <v>1559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 spans="1:16" s="1" customFormat="1" ht="119.1" customHeight="1" outlineLevel="4" x14ac:dyDescent="0.2">
      <c r="A809" s="11">
        <v>211292</v>
      </c>
      <c r="B809" s="12" t="s">
        <v>1560</v>
      </c>
      <c r="C809" s="12" t="s">
        <v>22</v>
      </c>
      <c r="D809" s="13"/>
      <c r="E809" s="14" t="s">
        <v>1561</v>
      </c>
      <c r="F809" s="15" t="s">
        <v>24</v>
      </c>
      <c r="G809" s="16"/>
      <c r="H809" s="36">
        <v>8820</v>
      </c>
      <c r="I809" s="36">
        <f>ROUND(H809-(H809*I2/100),2)</f>
        <v>8820</v>
      </c>
      <c r="J809" s="17">
        <v>1</v>
      </c>
      <c r="K809" s="18"/>
      <c r="L809" s="18"/>
      <c r="M809" s="20"/>
      <c r="N809" s="37">
        <f t="shared" ref="N809:N817" si="34">I809*M809</f>
        <v>0</v>
      </c>
      <c r="O809" s="21">
        <v>12</v>
      </c>
      <c r="P809" s="22">
        <v>5.0000000000000001E-3</v>
      </c>
    </row>
    <row r="810" spans="1:16" s="1" customFormat="1" ht="119.1" customHeight="1" outlineLevel="4" x14ac:dyDescent="0.2">
      <c r="A810" s="11">
        <v>192880</v>
      </c>
      <c r="B810" s="12" t="s">
        <v>1562</v>
      </c>
      <c r="C810" s="12" t="s">
        <v>22</v>
      </c>
      <c r="D810" s="13"/>
      <c r="E810" s="14" t="s">
        <v>1563</v>
      </c>
      <c r="F810" s="15" t="s">
        <v>24</v>
      </c>
      <c r="G810" s="16"/>
      <c r="H810" s="36">
        <v>8362.7999999999993</v>
      </c>
      <c r="I810" s="36">
        <f>ROUND(H810-(H810*I2/100),2)</f>
        <v>8362.7999999999993</v>
      </c>
      <c r="J810" s="17">
        <v>7</v>
      </c>
      <c r="K810" s="18"/>
      <c r="L810" s="18"/>
      <c r="M810" s="20"/>
      <c r="N810" s="37">
        <f t="shared" si="34"/>
        <v>0</v>
      </c>
      <c r="O810" s="21">
        <v>13</v>
      </c>
      <c r="P810" s="22">
        <v>7.9799999999999992E-3</v>
      </c>
    </row>
    <row r="811" spans="1:16" s="1" customFormat="1" ht="119.1" customHeight="1" outlineLevel="4" x14ac:dyDescent="0.2">
      <c r="A811" s="11">
        <v>211293</v>
      </c>
      <c r="B811" s="12" t="s">
        <v>1564</v>
      </c>
      <c r="C811" s="12" t="s">
        <v>22</v>
      </c>
      <c r="D811" s="23"/>
      <c r="E811" s="24" t="s">
        <v>1565</v>
      </c>
      <c r="F811" s="25" t="s">
        <v>24</v>
      </c>
      <c r="G811" s="26" t="s">
        <v>39</v>
      </c>
      <c r="H811" s="36">
        <v>12003.3</v>
      </c>
      <c r="I811" s="36">
        <f>H811</f>
        <v>12003.3</v>
      </c>
      <c r="J811" s="17">
        <v>2</v>
      </c>
      <c r="K811" s="18"/>
      <c r="L811" s="18"/>
      <c r="M811" s="20"/>
      <c r="N811" s="37">
        <f t="shared" si="34"/>
        <v>0</v>
      </c>
      <c r="O811" s="21">
        <v>14</v>
      </c>
      <c r="P811" s="22">
        <v>5.0000000000000001E-3</v>
      </c>
    </row>
    <row r="812" spans="1:16" s="1" customFormat="1" ht="119.1" customHeight="1" outlineLevel="4" x14ac:dyDescent="0.2">
      <c r="A812" s="11">
        <v>211290</v>
      </c>
      <c r="B812" s="12" t="s">
        <v>1566</v>
      </c>
      <c r="C812" s="12" t="s">
        <v>22</v>
      </c>
      <c r="D812" s="13"/>
      <c r="E812" s="14" t="s">
        <v>1567</v>
      </c>
      <c r="F812" s="15" t="s">
        <v>24</v>
      </c>
      <c r="G812" s="16"/>
      <c r="H812" s="36">
        <v>9037.5</v>
      </c>
      <c r="I812" s="36">
        <f>ROUND(H812-(H812*I2/100),2)</f>
        <v>9037.5</v>
      </c>
      <c r="J812" s="17">
        <v>2</v>
      </c>
      <c r="K812" s="18"/>
      <c r="L812" s="18"/>
      <c r="M812" s="20"/>
      <c r="N812" s="37">
        <f t="shared" si="34"/>
        <v>0</v>
      </c>
      <c r="O812" s="21">
        <v>10</v>
      </c>
      <c r="P812" s="22">
        <v>2E-3</v>
      </c>
    </row>
    <row r="813" spans="1:16" s="1" customFormat="1" ht="119.1" customHeight="1" outlineLevel="4" x14ac:dyDescent="0.2">
      <c r="A813" s="11">
        <v>216962</v>
      </c>
      <c r="B813" s="12" t="s">
        <v>1568</v>
      </c>
      <c r="C813" s="12" t="s">
        <v>50</v>
      </c>
      <c r="D813" s="13"/>
      <c r="E813" s="14" t="s">
        <v>1569</v>
      </c>
      <c r="F813" s="15" t="s">
        <v>24</v>
      </c>
      <c r="G813" s="16"/>
      <c r="H813" s="36">
        <v>7874.3</v>
      </c>
      <c r="I813" s="36">
        <f>ROUND(H813-(H813*I2/100),2)</f>
        <v>7874.3</v>
      </c>
      <c r="J813" s="17">
        <v>7</v>
      </c>
      <c r="K813" s="18"/>
      <c r="L813" s="18"/>
      <c r="M813" s="20"/>
      <c r="N813" s="37">
        <f t="shared" si="34"/>
        <v>0</v>
      </c>
      <c r="O813" s="21">
        <v>4.125</v>
      </c>
      <c r="P813" s="22">
        <v>7.9458000000000001E-2</v>
      </c>
    </row>
    <row r="814" spans="1:16" s="1" customFormat="1" ht="119.1" customHeight="1" outlineLevel="4" x14ac:dyDescent="0.2">
      <c r="A814" s="11">
        <v>219986</v>
      </c>
      <c r="B814" s="12" t="s">
        <v>1570</v>
      </c>
      <c r="C814" s="12" t="s">
        <v>50</v>
      </c>
      <c r="D814" s="28"/>
      <c r="E814" s="29" t="s">
        <v>1571</v>
      </c>
      <c r="F814" s="30" t="s">
        <v>24</v>
      </c>
      <c r="G814" s="31" t="s">
        <v>209</v>
      </c>
      <c r="H814" s="36">
        <v>8627.4</v>
      </c>
      <c r="I814" s="36">
        <f>ROUND(H814-(H814*I2/100),2)</f>
        <v>8627.4</v>
      </c>
      <c r="J814" s="17">
        <v>20</v>
      </c>
      <c r="K814" s="18"/>
      <c r="L814" s="18"/>
      <c r="M814" s="20"/>
      <c r="N814" s="37">
        <f t="shared" si="34"/>
        <v>0</v>
      </c>
      <c r="O814" s="21">
        <v>16.45</v>
      </c>
      <c r="P814" s="22">
        <v>4.8675999999999997E-2</v>
      </c>
    </row>
    <row r="815" spans="1:16" s="1" customFormat="1" ht="119.1" customHeight="1" outlineLevel="4" x14ac:dyDescent="0.2">
      <c r="A815" s="11">
        <v>216963</v>
      </c>
      <c r="B815" s="12" t="s">
        <v>1572</v>
      </c>
      <c r="C815" s="12" t="s">
        <v>50</v>
      </c>
      <c r="D815" s="13"/>
      <c r="E815" s="14" t="s">
        <v>1573</v>
      </c>
      <c r="F815" s="15" t="s">
        <v>24</v>
      </c>
      <c r="G815" s="16"/>
      <c r="H815" s="36">
        <v>1380.9</v>
      </c>
      <c r="I815" s="36">
        <f>ROUND(H815-(H815*I2/100),2)</f>
        <v>1380.9</v>
      </c>
      <c r="J815" s="17">
        <v>12</v>
      </c>
      <c r="K815" s="18"/>
      <c r="L815" s="18"/>
      <c r="M815" s="20"/>
      <c r="N815" s="37">
        <f t="shared" si="34"/>
        <v>0</v>
      </c>
      <c r="O815" s="21">
        <v>2.0169999999999999</v>
      </c>
      <c r="P815" s="22">
        <v>8.0549999999999997E-3</v>
      </c>
    </row>
    <row r="816" spans="1:16" s="1" customFormat="1" ht="119.1" customHeight="1" outlineLevel="4" x14ac:dyDescent="0.2">
      <c r="A816" s="11">
        <v>216964</v>
      </c>
      <c r="B816" s="12" t="s">
        <v>1574</v>
      </c>
      <c r="C816" s="12" t="s">
        <v>50</v>
      </c>
      <c r="D816" s="13"/>
      <c r="E816" s="14" t="s">
        <v>1575</v>
      </c>
      <c r="F816" s="15" t="s">
        <v>24</v>
      </c>
      <c r="G816" s="16"/>
      <c r="H816" s="36">
        <v>1809.3</v>
      </c>
      <c r="I816" s="36">
        <f>ROUND(H816-(H816*I2/100),2)</f>
        <v>1809.3</v>
      </c>
      <c r="J816" s="17">
        <v>20</v>
      </c>
      <c r="K816" s="18"/>
      <c r="L816" s="18"/>
      <c r="M816" s="20"/>
      <c r="N816" s="37">
        <f t="shared" si="34"/>
        <v>0</v>
      </c>
      <c r="O816" s="21">
        <v>3.2250000000000001</v>
      </c>
      <c r="P816" s="22">
        <v>1.2612999999999999E-2</v>
      </c>
    </row>
    <row r="817" spans="1:16" s="1" customFormat="1" ht="119.1" customHeight="1" outlineLevel="4" x14ac:dyDescent="0.2">
      <c r="A817" s="11">
        <v>216965</v>
      </c>
      <c r="B817" s="12" t="s">
        <v>1576</v>
      </c>
      <c r="C817" s="12" t="s">
        <v>50</v>
      </c>
      <c r="D817" s="13"/>
      <c r="E817" s="14" t="s">
        <v>1577</v>
      </c>
      <c r="F817" s="15" t="s">
        <v>24</v>
      </c>
      <c r="G817" s="16"/>
      <c r="H817" s="36">
        <v>3783</v>
      </c>
      <c r="I817" s="36">
        <f>ROUND(H817-(H817*I2/100),2)</f>
        <v>3783</v>
      </c>
      <c r="J817" s="17">
        <v>10</v>
      </c>
      <c r="K817" s="18"/>
      <c r="L817" s="18"/>
      <c r="M817" s="20"/>
      <c r="N817" s="37">
        <f t="shared" si="34"/>
        <v>0</v>
      </c>
      <c r="O817" s="21">
        <v>7.0250000000000004</v>
      </c>
      <c r="P817" s="22">
        <v>2.7826E-2</v>
      </c>
    </row>
    <row r="818" spans="1:16" s="8" customFormat="1" ht="15.95" customHeight="1" outlineLevel="3" x14ac:dyDescent="0.25">
      <c r="A818" s="9"/>
      <c r="B818" s="10"/>
      <c r="C818" s="10"/>
      <c r="D818" s="10" t="s">
        <v>1578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 spans="1:16" s="1" customFormat="1" ht="119.1" customHeight="1" outlineLevel="4" x14ac:dyDescent="0.2">
      <c r="A819" s="11">
        <v>183764</v>
      </c>
      <c r="B819" s="12" t="s">
        <v>1579</v>
      </c>
      <c r="C819" s="12" t="s">
        <v>22</v>
      </c>
      <c r="D819" s="23"/>
      <c r="E819" s="24" t="s">
        <v>1580</v>
      </c>
      <c r="F819" s="25" t="s">
        <v>113</v>
      </c>
      <c r="G819" s="26" t="s">
        <v>39</v>
      </c>
      <c r="H819" s="36">
        <v>1600.2</v>
      </c>
      <c r="I819" s="36">
        <f>H819</f>
        <v>1600.2</v>
      </c>
      <c r="J819" s="17">
        <v>12</v>
      </c>
      <c r="K819" s="18"/>
      <c r="L819" s="18"/>
      <c r="M819" s="20"/>
      <c r="N819" s="37">
        <f t="shared" ref="N819:N842" si="35">I819*M819</f>
        <v>0</v>
      </c>
      <c r="O819" s="21">
        <v>1.075</v>
      </c>
      <c r="P819" s="22">
        <v>1.872E-3</v>
      </c>
    </row>
    <row r="820" spans="1:16" s="1" customFormat="1" ht="119.1" customHeight="1" outlineLevel="4" x14ac:dyDescent="0.2">
      <c r="A820" s="11">
        <v>209601</v>
      </c>
      <c r="B820" s="12" t="s">
        <v>1581</v>
      </c>
      <c r="C820" s="12" t="s">
        <v>22</v>
      </c>
      <c r="D820" s="13"/>
      <c r="E820" s="14" t="s">
        <v>1582</v>
      </c>
      <c r="F820" s="15" t="s">
        <v>113</v>
      </c>
      <c r="G820" s="16"/>
      <c r="H820" s="36">
        <v>1012.3</v>
      </c>
      <c r="I820" s="36">
        <f>ROUND(H820-(H820*I2/100),2)</f>
        <v>1012.3</v>
      </c>
      <c r="J820" s="17">
        <v>92</v>
      </c>
      <c r="K820" s="18"/>
      <c r="L820" s="18"/>
      <c r="M820" s="20"/>
      <c r="N820" s="37">
        <f t="shared" si="35"/>
        <v>0</v>
      </c>
      <c r="O820" s="21">
        <v>0.32</v>
      </c>
      <c r="P820" s="22">
        <v>5.0000000000000001E-4</v>
      </c>
    </row>
    <row r="821" spans="1:16" s="1" customFormat="1" ht="119.1" customHeight="1" outlineLevel="4" x14ac:dyDescent="0.2">
      <c r="A821" s="11">
        <v>219312</v>
      </c>
      <c r="B821" s="12" t="s">
        <v>1583</v>
      </c>
      <c r="C821" s="12" t="s">
        <v>50</v>
      </c>
      <c r="D821" s="13"/>
      <c r="E821" s="14" t="s">
        <v>1584</v>
      </c>
      <c r="F821" s="15" t="s">
        <v>113</v>
      </c>
      <c r="G821" s="16"/>
      <c r="H821" s="36">
        <v>623.5</v>
      </c>
      <c r="I821" s="36">
        <f>ROUND(H821-(H821*I2/100),2)</f>
        <v>623.5</v>
      </c>
      <c r="J821" s="17">
        <v>238</v>
      </c>
      <c r="K821" s="18"/>
      <c r="L821" s="18"/>
      <c r="M821" s="20"/>
      <c r="N821" s="37">
        <f t="shared" si="35"/>
        <v>0</v>
      </c>
      <c r="O821" s="21">
        <v>0.46700000000000003</v>
      </c>
      <c r="P821" s="22">
        <v>8.9999999999999998E-4</v>
      </c>
    </row>
    <row r="822" spans="1:16" s="1" customFormat="1" ht="119.1" customHeight="1" outlineLevel="4" x14ac:dyDescent="0.2">
      <c r="A822" s="11">
        <v>197324</v>
      </c>
      <c r="B822" s="12" t="s">
        <v>1585</v>
      </c>
      <c r="C822" s="12" t="s">
        <v>50</v>
      </c>
      <c r="D822" s="13"/>
      <c r="E822" s="14" t="s">
        <v>1586</v>
      </c>
      <c r="F822" s="15" t="s">
        <v>24</v>
      </c>
      <c r="G822" s="16"/>
      <c r="H822" s="36">
        <v>756.7</v>
      </c>
      <c r="I822" s="36">
        <f>ROUND(H822-(H822*I2/100),2)</f>
        <v>756.7</v>
      </c>
      <c r="J822" s="17">
        <v>6</v>
      </c>
      <c r="K822" s="18"/>
      <c r="L822" s="18"/>
      <c r="M822" s="20"/>
      <c r="N822" s="37">
        <f t="shared" si="35"/>
        <v>0</v>
      </c>
      <c r="O822" s="21">
        <v>0.75</v>
      </c>
      <c r="P822" s="22">
        <v>1.397E-3</v>
      </c>
    </row>
    <row r="823" spans="1:16" s="1" customFormat="1" ht="119.1" customHeight="1" outlineLevel="4" x14ac:dyDescent="0.2">
      <c r="A823" s="11">
        <v>216926</v>
      </c>
      <c r="B823" s="12" t="s">
        <v>1587</v>
      </c>
      <c r="C823" s="12" t="s">
        <v>50</v>
      </c>
      <c r="D823" s="13"/>
      <c r="E823" s="14" t="s">
        <v>1588</v>
      </c>
      <c r="F823" s="15" t="s">
        <v>113</v>
      </c>
      <c r="G823" s="16"/>
      <c r="H823" s="36">
        <v>579.70000000000005</v>
      </c>
      <c r="I823" s="36">
        <f>ROUND(H823-(H823*I2/100),2)</f>
        <v>579.70000000000005</v>
      </c>
      <c r="J823" s="17">
        <v>365</v>
      </c>
      <c r="K823" s="18"/>
      <c r="L823" s="18"/>
      <c r="M823" s="20"/>
      <c r="N823" s="37">
        <f t="shared" si="35"/>
        <v>0</v>
      </c>
      <c r="O823" s="21">
        <v>0.6</v>
      </c>
      <c r="P823" s="22">
        <v>8.4999999999999995E-4</v>
      </c>
    </row>
    <row r="824" spans="1:16" s="1" customFormat="1" ht="119.1" customHeight="1" outlineLevel="4" x14ac:dyDescent="0.2">
      <c r="A824" s="11">
        <v>216927</v>
      </c>
      <c r="B824" s="12" t="s">
        <v>1589</v>
      </c>
      <c r="C824" s="12" t="s">
        <v>50</v>
      </c>
      <c r="D824" s="13"/>
      <c r="E824" s="14" t="s">
        <v>1590</v>
      </c>
      <c r="F824" s="15" t="s">
        <v>24</v>
      </c>
      <c r="G824" s="16"/>
      <c r="H824" s="36">
        <v>780.4</v>
      </c>
      <c r="I824" s="36">
        <f>ROUND(H824-(H824*I2/100),2)</f>
        <v>780.4</v>
      </c>
      <c r="J824" s="17">
        <v>24</v>
      </c>
      <c r="K824" s="18"/>
      <c r="L824" s="18"/>
      <c r="M824" s="20"/>
      <c r="N824" s="37">
        <f t="shared" si="35"/>
        <v>0</v>
      </c>
      <c r="O824" s="21">
        <v>0.59</v>
      </c>
      <c r="P824" s="22">
        <v>8.2600000000000002E-4</v>
      </c>
    </row>
    <row r="825" spans="1:16" s="1" customFormat="1" ht="119.1" customHeight="1" outlineLevel="4" x14ac:dyDescent="0.2">
      <c r="A825" s="11">
        <v>200603</v>
      </c>
      <c r="B825" s="12" t="s">
        <v>1591</v>
      </c>
      <c r="C825" s="12" t="s">
        <v>22</v>
      </c>
      <c r="D825" s="13"/>
      <c r="E825" s="14" t="s">
        <v>1592</v>
      </c>
      <c r="F825" s="15" t="s">
        <v>24</v>
      </c>
      <c r="G825" s="16"/>
      <c r="H825" s="36">
        <v>443.2</v>
      </c>
      <c r="I825" s="36">
        <f>ROUND(H825-(H825*I2/100),2)</f>
        <v>443.2</v>
      </c>
      <c r="J825" s="17">
        <v>298</v>
      </c>
      <c r="K825" s="18"/>
      <c r="L825" s="18"/>
      <c r="M825" s="20"/>
      <c r="N825" s="37">
        <f t="shared" si="35"/>
        <v>0</v>
      </c>
      <c r="O825" s="21">
        <v>0.5</v>
      </c>
      <c r="P825" s="22">
        <v>2.0000000000000001E-4</v>
      </c>
    </row>
    <row r="826" spans="1:16" s="1" customFormat="1" ht="119.1" customHeight="1" outlineLevel="4" x14ac:dyDescent="0.2">
      <c r="A826" s="11">
        <v>196298</v>
      </c>
      <c r="B826" s="12" t="s">
        <v>1593</v>
      </c>
      <c r="C826" s="12" t="s">
        <v>50</v>
      </c>
      <c r="D826" s="13"/>
      <c r="E826" s="14" t="s">
        <v>1594</v>
      </c>
      <c r="F826" s="15" t="s">
        <v>24</v>
      </c>
      <c r="G826" s="16"/>
      <c r="H826" s="36">
        <v>230.4</v>
      </c>
      <c r="I826" s="36">
        <f>ROUND(H826-(H826*I2/100),2)</f>
        <v>230.4</v>
      </c>
      <c r="J826" s="17">
        <v>490</v>
      </c>
      <c r="K826" s="18"/>
      <c r="L826" s="18"/>
      <c r="M826" s="20"/>
      <c r="N826" s="37">
        <f t="shared" si="35"/>
        <v>0</v>
      </c>
      <c r="O826" s="21">
        <v>0.20599999999999999</v>
      </c>
      <c r="P826" s="22">
        <v>1.0579999999999999E-3</v>
      </c>
    </row>
    <row r="827" spans="1:16" s="1" customFormat="1" ht="119.1" customHeight="1" outlineLevel="4" x14ac:dyDescent="0.2">
      <c r="A827" s="11">
        <v>140078</v>
      </c>
      <c r="B827" s="12" t="s">
        <v>1595</v>
      </c>
      <c r="C827" s="12" t="s">
        <v>22</v>
      </c>
      <c r="D827" s="13"/>
      <c r="E827" s="14" t="s">
        <v>1596</v>
      </c>
      <c r="F827" s="15" t="s">
        <v>24</v>
      </c>
      <c r="G827" s="16"/>
      <c r="H827" s="36">
        <v>297.5</v>
      </c>
      <c r="I827" s="36">
        <f>ROUND(H827-(H827*I2/100),2)</f>
        <v>297.5</v>
      </c>
      <c r="J827" s="17">
        <v>90</v>
      </c>
      <c r="K827" s="18"/>
      <c r="L827" s="18"/>
      <c r="M827" s="20"/>
      <c r="N827" s="37">
        <f t="shared" si="35"/>
        <v>0</v>
      </c>
      <c r="O827" s="21">
        <v>0.25</v>
      </c>
      <c r="P827" s="22">
        <v>5.53E-4</v>
      </c>
    </row>
    <row r="828" spans="1:16" s="1" customFormat="1" ht="119.1" customHeight="1" outlineLevel="4" x14ac:dyDescent="0.2">
      <c r="A828" s="11">
        <v>210060</v>
      </c>
      <c r="B828" s="12" t="s">
        <v>1597</v>
      </c>
      <c r="C828" s="12" t="s">
        <v>22</v>
      </c>
      <c r="D828" s="13"/>
      <c r="E828" s="14" t="s">
        <v>1598</v>
      </c>
      <c r="F828" s="15" t="s">
        <v>24</v>
      </c>
      <c r="G828" s="16"/>
      <c r="H828" s="36">
        <v>677.1</v>
      </c>
      <c r="I828" s="36">
        <f>ROUND(H828-(H828*I2/100),2)</f>
        <v>677.1</v>
      </c>
      <c r="J828" s="17">
        <v>259</v>
      </c>
      <c r="K828" s="18"/>
      <c r="L828" s="18"/>
      <c r="M828" s="20"/>
      <c r="N828" s="37">
        <f t="shared" si="35"/>
        <v>0</v>
      </c>
      <c r="O828" s="21">
        <v>0.33300000000000002</v>
      </c>
      <c r="P828" s="22">
        <v>2.4000000000000001E-4</v>
      </c>
    </row>
    <row r="829" spans="1:16" s="1" customFormat="1" ht="119.1" customHeight="1" outlineLevel="4" x14ac:dyDescent="0.2">
      <c r="A829" s="11">
        <v>196299</v>
      </c>
      <c r="B829" s="12" t="s">
        <v>1599</v>
      </c>
      <c r="C829" s="12" t="s">
        <v>50</v>
      </c>
      <c r="D829" s="13"/>
      <c r="E829" s="14" t="s">
        <v>1600</v>
      </c>
      <c r="F829" s="15" t="s">
        <v>24</v>
      </c>
      <c r="G829" s="16"/>
      <c r="H829" s="36">
        <v>263.2</v>
      </c>
      <c r="I829" s="36">
        <f>ROUND(H829-(H829*I2/100),2)</f>
        <v>263.2</v>
      </c>
      <c r="J829" s="17">
        <v>451</v>
      </c>
      <c r="K829" s="18"/>
      <c r="L829" s="18"/>
      <c r="M829" s="20"/>
      <c r="N829" s="37">
        <f t="shared" si="35"/>
        <v>0</v>
      </c>
      <c r="O829" s="21">
        <v>0.26400000000000001</v>
      </c>
      <c r="P829" s="22">
        <v>1.1720000000000001E-3</v>
      </c>
    </row>
    <row r="830" spans="1:16" s="1" customFormat="1" ht="119.1" customHeight="1" outlineLevel="4" x14ac:dyDescent="0.2">
      <c r="A830" s="11">
        <v>210061</v>
      </c>
      <c r="B830" s="12" t="s">
        <v>1601</v>
      </c>
      <c r="C830" s="12" t="s">
        <v>22</v>
      </c>
      <c r="D830" s="13"/>
      <c r="E830" s="14" t="s">
        <v>1602</v>
      </c>
      <c r="F830" s="15" t="s">
        <v>24</v>
      </c>
      <c r="G830" s="16"/>
      <c r="H830" s="36">
        <v>811.1</v>
      </c>
      <c r="I830" s="36">
        <f>ROUND(H830-(H830*I2/100),2)</f>
        <v>811.1</v>
      </c>
      <c r="J830" s="17">
        <v>210</v>
      </c>
      <c r="K830" s="18"/>
      <c r="L830" s="18"/>
      <c r="M830" s="20"/>
      <c r="N830" s="37">
        <f t="shared" si="35"/>
        <v>0</v>
      </c>
      <c r="O830" s="21">
        <v>0.34200000000000003</v>
      </c>
      <c r="P830" s="22">
        <v>1.01E-3</v>
      </c>
    </row>
    <row r="831" spans="1:16" s="1" customFormat="1" ht="119.1" customHeight="1" outlineLevel="4" x14ac:dyDescent="0.2">
      <c r="A831" s="11">
        <v>169159</v>
      </c>
      <c r="B831" s="12" t="s">
        <v>1603</v>
      </c>
      <c r="C831" s="12" t="s">
        <v>22</v>
      </c>
      <c r="D831" s="28"/>
      <c r="E831" s="29" t="s">
        <v>1604</v>
      </c>
      <c r="F831" s="30" t="s">
        <v>24</v>
      </c>
      <c r="G831" s="31" t="s">
        <v>209</v>
      </c>
      <c r="H831" s="36">
        <v>306.3</v>
      </c>
      <c r="I831" s="36">
        <f>ROUND(H831-(H831*I2/100),2)</f>
        <v>306.3</v>
      </c>
      <c r="J831" s="17">
        <v>108</v>
      </c>
      <c r="K831" s="18"/>
      <c r="L831" s="18"/>
      <c r="M831" s="20"/>
      <c r="N831" s="37">
        <f t="shared" si="35"/>
        <v>0</v>
      </c>
      <c r="O831" s="21">
        <v>0.31900000000000001</v>
      </c>
      <c r="P831" s="22">
        <v>7.0600000000000003E-4</v>
      </c>
    </row>
    <row r="832" spans="1:16" s="1" customFormat="1" ht="119.1" customHeight="1" outlineLevel="4" x14ac:dyDescent="0.2">
      <c r="A832" s="11">
        <v>140079</v>
      </c>
      <c r="B832" s="12" t="s">
        <v>1605</v>
      </c>
      <c r="C832" s="12" t="s">
        <v>22</v>
      </c>
      <c r="D832" s="13"/>
      <c r="E832" s="14" t="s">
        <v>1606</v>
      </c>
      <c r="F832" s="15" t="s">
        <v>24</v>
      </c>
      <c r="G832" s="16"/>
      <c r="H832" s="36">
        <v>481.2</v>
      </c>
      <c r="I832" s="36">
        <f>ROUND(H832-(H832*I2/100),2)</f>
        <v>481.2</v>
      </c>
      <c r="J832" s="17">
        <v>405</v>
      </c>
      <c r="K832" s="18"/>
      <c r="L832" s="18"/>
      <c r="M832" s="20"/>
      <c r="N832" s="37">
        <f t="shared" si="35"/>
        <v>0</v>
      </c>
      <c r="O832" s="21">
        <v>0.27800000000000002</v>
      </c>
      <c r="P832" s="22">
        <v>4.84E-4</v>
      </c>
    </row>
    <row r="833" spans="1:16" s="1" customFormat="1" ht="119.1" customHeight="1" outlineLevel="4" x14ac:dyDescent="0.2">
      <c r="A833" s="11">
        <v>196155</v>
      </c>
      <c r="B833" s="12" t="s">
        <v>1607</v>
      </c>
      <c r="C833" s="12" t="s">
        <v>50</v>
      </c>
      <c r="D833" s="13"/>
      <c r="E833" s="14" t="s">
        <v>1608</v>
      </c>
      <c r="F833" s="15" t="s">
        <v>24</v>
      </c>
      <c r="G833" s="16"/>
      <c r="H833" s="36">
        <v>282.5</v>
      </c>
      <c r="I833" s="36">
        <f>ROUND(H833-(H833*I2/100),2)</f>
        <v>282.5</v>
      </c>
      <c r="J833" s="17">
        <v>225</v>
      </c>
      <c r="K833" s="18"/>
      <c r="L833" s="18"/>
      <c r="M833" s="20"/>
      <c r="N833" s="37">
        <f t="shared" si="35"/>
        <v>0</v>
      </c>
      <c r="O833" s="21">
        <v>0.33600000000000002</v>
      </c>
      <c r="P833" s="22">
        <v>1.758E-3</v>
      </c>
    </row>
    <row r="834" spans="1:16" s="1" customFormat="1" ht="119.1" customHeight="1" outlineLevel="4" x14ac:dyDescent="0.2">
      <c r="A834" s="11">
        <v>219980</v>
      </c>
      <c r="B834" s="12" t="s">
        <v>1609</v>
      </c>
      <c r="C834" s="12" t="s">
        <v>50</v>
      </c>
      <c r="D834" s="28"/>
      <c r="E834" s="29" t="s">
        <v>1610</v>
      </c>
      <c r="F834" s="30" t="s">
        <v>24</v>
      </c>
      <c r="G834" s="31" t="s">
        <v>209</v>
      </c>
      <c r="H834" s="36">
        <v>560.20000000000005</v>
      </c>
      <c r="I834" s="36">
        <f>ROUND(H834-(H834*I2/100),2)</f>
        <v>560.20000000000005</v>
      </c>
      <c r="J834" s="17">
        <v>343</v>
      </c>
      <c r="K834" s="18"/>
      <c r="L834" s="18"/>
      <c r="M834" s="20"/>
      <c r="N834" s="37">
        <f t="shared" si="35"/>
        <v>0</v>
      </c>
      <c r="O834" s="21">
        <v>0.36899999999999999</v>
      </c>
      <c r="P834" s="22">
        <v>8.6399999999999997E-4</v>
      </c>
    </row>
    <row r="835" spans="1:16" s="1" customFormat="1" ht="119.1" customHeight="1" outlineLevel="4" x14ac:dyDescent="0.2">
      <c r="A835" s="11">
        <v>150380</v>
      </c>
      <c r="B835" s="12" t="s">
        <v>1611</v>
      </c>
      <c r="C835" s="12" t="s">
        <v>22</v>
      </c>
      <c r="D835" s="13"/>
      <c r="E835" s="14" t="s">
        <v>1612</v>
      </c>
      <c r="F835" s="15" t="s">
        <v>24</v>
      </c>
      <c r="G835" s="16"/>
      <c r="H835" s="36">
        <v>385.5</v>
      </c>
      <c r="I835" s="36">
        <f>ROUND(H835-(H835*I2/100),2)</f>
        <v>385.5</v>
      </c>
      <c r="J835" s="17">
        <v>56</v>
      </c>
      <c r="K835" s="18"/>
      <c r="L835" s="18"/>
      <c r="M835" s="20"/>
      <c r="N835" s="37">
        <f t="shared" si="35"/>
        <v>0</v>
      </c>
      <c r="O835" s="21">
        <v>0.38300000000000001</v>
      </c>
      <c r="P835" s="22">
        <v>6.6299999999999996E-4</v>
      </c>
    </row>
    <row r="836" spans="1:16" s="1" customFormat="1" ht="119.1" customHeight="1" outlineLevel="4" x14ac:dyDescent="0.2">
      <c r="A836" s="11">
        <v>140076</v>
      </c>
      <c r="B836" s="12" t="s">
        <v>1613</v>
      </c>
      <c r="C836" s="12" t="s">
        <v>22</v>
      </c>
      <c r="D836" s="13"/>
      <c r="E836" s="14" t="s">
        <v>1614</v>
      </c>
      <c r="F836" s="15" t="s">
        <v>24</v>
      </c>
      <c r="G836" s="16"/>
      <c r="H836" s="36">
        <v>570.70000000000005</v>
      </c>
      <c r="I836" s="36">
        <f>ROUND(H836-(H836*I2/100),2)</f>
        <v>570.70000000000005</v>
      </c>
      <c r="J836" s="17">
        <v>233</v>
      </c>
      <c r="K836" s="18"/>
      <c r="L836" s="18"/>
      <c r="M836" s="20"/>
      <c r="N836" s="37">
        <f t="shared" si="35"/>
        <v>0</v>
      </c>
      <c r="O836" s="21">
        <v>0.33300000000000002</v>
      </c>
      <c r="P836" s="22">
        <v>4.9399999999999997E-4</v>
      </c>
    </row>
    <row r="837" spans="1:16" s="1" customFormat="1" ht="119.1" customHeight="1" outlineLevel="4" x14ac:dyDescent="0.2">
      <c r="A837" s="11">
        <v>199106</v>
      </c>
      <c r="B837" s="12" t="s">
        <v>1615</v>
      </c>
      <c r="C837" s="12" t="s">
        <v>22</v>
      </c>
      <c r="D837" s="13"/>
      <c r="E837" s="14" t="s">
        <v>1616</v>
      </c>
      <c r="F837" s="15" t="s">
        <v>24</v>
      </c>
      <c r="G837" s="16"/>
      <c r="H837" s="36">
        <v>705.4</v>
      </c>
      <c r="I837" s="36">
        <f>ROUND(H837-(H837*I2/100),2)</f>
        <v>705.4</v>
      </c>
      <c r="J837" s="17">
        <v>192</v>
      </c>
      <c r="K837" s="18"/>
      <c r="L837" s="18"/>
      <c r="M837" s="20"/>
      <c r="N837" s="37">
        <f t="shared" si="35"/>
        <v>0</v>
      </c>
      <c r="O837" s="21">
        <v>0.3</v>
      </c>
      <c r="P837" s="22">
        <v>1E-3</v>
      </c>
    </row>
    <row r="838" spans="1:16" s="1" customFormat="1" ht="119.1" customHeight="1" outlineLevel="4" x14ac:dyDescent="0.2">
      <c r="A838" s="11">
        <v>165282</v>
      </c>
      <c r="B838" s="12" t="s">
        <v>1617</v>
      </c>
      <c r="C838" s="12" t="s">
        <v>22</v>
      </c>
      <c r="D838" s="23"/>
      <c r="E838" s="24" t="s">
        <v>1618</v>
      </c>
      <c r="F838" s="25" t="s">
        <v>24</v>
      </c>
      <c r="G838" s="26" t="s">
        <v>39</v>
      </c>
      <c r="H838" s="36">
        <v>577.71</v>
      </c>
      <c r="I838" s="36">
        <f>H838</f>
        <v>577.71</v>
      </c>
      <c r="J838" s="17">
        <v>38</v>
      </c>
      <c r="K838" s="18"/>
      <c r="L838" s="18"/>
      <c r="M838" s="20"/>
      <c r="N838" s="37">
        <f t="shared" si="35"/>
        <v>0</v>
      </c>
      <c r="O838" s="21">
        <v>0.55600000000000005</v>
      </c>
      <c r="P838" s="22">
        <v>4.5899999999999999E-4</v>
      </c>
    </row>
    <row r="839" spans="1:16" s="1" customFormat="1" ht="119.1" customHeight="1" outlineLevel="4" x14ac:dyDescent="0.2">
      <c r="A839" s="11">
        <v>181089</v>
      </c>
      <c r="B839" s="12" t="s">
        <v>1619</v>
      </c>
      <c r="C839" s="12" t="s">
        <v>22</v>
      </c>
      <c r="D839" s="13"/>
      <c r="E839" s="14" t="s">
        <v>1620</v>
      </c>
      <c r="F839" s="15" t="s">
        <v>24</v>
      </c>
      <c r="G839" s="16"/>
      <c r="H839" s="36">
        <v>538.29999999999995</v>
      </c>
      <c r="I839" s="36">
        <f>ROUND(H839-(H839*I2/100),2)</f>
        <v>538.29999999999995</v>
      </c>
      <c r="J839" s="17">
        <v>38</v>
      </c>
      <c r="K839" s="18"/>
      <c r="L839" s="18"/>
      <c r="M839" s="20"/>
      <c r="N839" s="37">
        <f t="shared" si="35"/>
        <v>0</v>
      </c>
      <c r="O839" s="21">
        <v>0.20799999999999999</v>
      </c>
      <c r="P839" s="22">
        <v>3.2699999999999998E-4</v>
      </c>
    </row>
    <row r="840" spans="1:16" s="1" customFormat="1" ht="119.1" customHeight="1" outlineLevel="4" x14ac:dyDescent="0.2">
      <c r="A840" s="11">
        <v>181090</v>
      </c>
      <c r="B840" s="12" t="s">
        <v>1621</v>
      </c>
      <c r="C840" s="12" t="s">
        <v>22</v>
      </c>
      <c r="D840" s="13"/>
      <c r="E840" s="14" t="s">
        <v>1622</v>
      </c>
      <c r="F840" s="15" t="s">
        <v>24</v>
      </c>
      <c r="G840" s="16"/>
      <c r="H840" s="36">
        <v>654.6</v>
      </c>
      <c r="I840" s="36">
        <f>ROUND(H840-(H840*I2/100),2)</f>
        <v>654.6</v>
      </c>
      <c r="J840" s="17">
        <v>90</v>
      </c>
      <c r="K840" s="18"/>
      <c r="L840" s="18"/>
      <c r="M840" s="20"/>
      <c r="N840" s="37">
        <f t="shared" si="35"/>
        <v>0</v>
      </c>
      <c r="O840" s="21">
        <v>0.3</v>
      </c>
      <c r="P840" s="22">
        <v>4.8700000000000002E-4</v>
      </c>
    </row>
    <row r="841" spans="1:16" s="1" customFormat="1" ht="119.1" customHeight="1" outlineLevel="4" x14ac:dyDescent="0.2">
      <c r="A841" s="11">
        <v>187912</v>
      </c>
      <c r="B841" s="12" t="s">
        <v>1623</v>
      </c>
      <c r="C841" s="12" t="s">
        <v>22</v>
      </c>
      <c r="D841" s="23"/>
      <c r="E841" s="24" t="s">
        <v>1624</v>
      </c>
      <c r="F841" s="25" t="s">
        <v>24</v>
      </c>
      <c r="G841" s="26" t="s">
        <v>39</v>
      </c>
      <c r="H841" s="36">
        <v>463.73</v>
      </c>
      <c r="I841" s="36">
        <f>H841</f>
        <v>463.73</v>
      </c>
      <c r="J841" s="17">
        <v>1</v>
      </c>
      <c r="K841" s="18"/>
      <c r="L841" s="18"/>
      <c r="M841" s="20"/>
      <c r="N841" s="37">
        <f t="shared" si="35"/>
        <v>0</v>
      </c>
      <c r="O841" s="21">
        <v>0.4</v>
      </c>
      <c r="P841" s="22">
        <v>5.0000000000000001E-4</v>
      </c>
    </row>
    <row r="842" spans="1:16" s="1" customFormat="1" ht="119.1" customHeight="1" outlineLevel="4" x14ac:dyDescent="0.2">
      <c r="A842" s="11">
        <v>165277</v>
      </c>
      <c r="B842" s="12" t="s">
        <v>1625</v>
      </c>
      <c r="C842" s="12" t="s">
        <v>22</v>
      </c>
      <c r="D842" s="13"/>
      <c r="E842" s="14" t="s">
        <v>1626</v>
      </c>
      <c r="F842" s="15" t="s">
        <v>24</v>
      </c>
      <c r="G842" s="16"/>
      <c r="H842" s="36">
        <v>203</v>
      </c>
      <c r="I842" s="36">
        <f>ROUND(H842-(H842*I2/100),2)</f>
        <v>203</v>
      </c>
      <c r="J842" s="17">
        <v>275</v>
      </c>
      <c r="K842" s="18"/>
      <c r="L842" s="18"/>
      <c r="M842" s="20"/>
      <c r="N842" s="37">
        <f t="shared" si="35"/>
        <v>0</v>
      </c>
      <c r="O842" s="21">
        <v>0.10199999999999999</v>
      </c>
      <c r="P842" s="22">
        <v>2.6499999999999999E-4</v>
      </c>
    </row>
    <row r="843" spans="1:16" s="8" customFormat="1" ht="15.95" customHeight="1" outlineLevel="3" x14ac:dyDescent="0.25">
      <c r="A843" s="9"/>
      <c r="B843" s="10"/>
      <c r="C843" s="10"/>
      <c r="D843" s="10" t="s">
        <v>1627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spans="1:16" s="1" customFormat="1" ht="119.1" customHeight="1" outlineLevel="4" x14ac:dyDescent="0.2">
      <c r="A844" s="11">
        <v>216924</v>
      </c>
      <c r="B844" s="12" t="s">
        <v>1628</v>
      </c>
      <c r="C844" s="12" t="s">
        <v>50</v>
      </c>
      <c r="D844" s="13"/>
      <c r="E844" s="14" t="s">
        <v>1629</v>
      </c>
      <c r="F844" s="15" t="s">
        <v>113</v>
      </c>
      <c r="G844" s="16"/>
      <c r="H844" s="36">
        <v>118.1</v>
      </c>
      <c r="I844" s="36">
        <f>ROUND(H844-(H844*I2/100),2)</f>
        <v>118.1</v>
      </c>
      <c r="J844" s="17">
        <v>352</v>
      </c>
      <c r="K844" s="18"/>
      <c r="L844" s="18"/>
      <c r="M844" s="20"/>
      <c r="N844" s="37">
        <f t="shared" ref="N844:N859" si="36">I844*M844</f>
        <v>0</v>
      </c>
      <c r="O844" s="21">
        <v>9.8000000000000004E-2</v>
      </c>
      <c r="P844" s="22">
        <v>5.1999999999999997E-5</v>
      </c>
    </row>
    <row r="845" spans="1:16" s="1" customFormat="1" ht="119.1" customHeight="1" outlineLevel="4" x14ac:dyDescent="0.2">
      <c r="A845" s="11">
        <v>216925</v>
      </c>
      <c r="B845" s="12" t="s">
        <v>1630</v>
      </c>
      <c r="C845" s="12" t="s">
        <v>50</v>
      </c>
      <c r="D845" s="13"/>
      <c r="E845" s="14" t="s">
        <v>1631</v>
      </c>
      <c r="F845" s="15" t="s">
        <v>113</v>
      </c>
      <c r="G845" s="16"/>
      <c r="H845" s="36">
        <v>118.1</v>
      </c>
      <c r="I845" s="36">
        <f>ROUND(H845-(H845*I2/100),2)</f>
        <v>118.1</v>
      </c>
      <c r="J845" s="17">
        <v>349</v>
      </c>
      <c r="K845" s="18"/>
      <c r="L845" s="18"/>
      <c r="M845" s="20"/>
      <c r="N845" s="37">
        <f t="shared" si="36"/>
        <v>0</v>
      </c>
      <c r="O845" s="21">
        <v>9.8000000000000004E-2</v>
      </c>
      <c r="P845" s="22">
        <v>5.1999999999999997E-5</v>
      </c>
    </row>
    <row r="846" spans="1:16" s="1" customFormat="1" ht="119.1" customHeight="1" outlineLevel="4" x14ac:dyDescent="0.2">
      <c r="A846" s="11">
        <v>198486</v>
      </c>
      <c r="B846" s="12" t="s">
        <v>1632</v>
      </c>
      <c r="C846" s="12" t="s">
        <v>22</v>
      </c>
      <c r="D846" s="13"/>
      <c r="E846" s="14" t="s">
        <v>1633</v>
      </c>
      <c r="F846" s="15" t="s">
        <v>113</v>
      </c>
      <c r="G846" s="16"/>
      <c r="H846" s="36">
        <v>581.6</v>
      </c>
      <c r="I846" s="36">
        <f>ROUND(H846-(H846*I2/100),2)</f>
        <v>581.6</v>
      </c>
      <c r="J846" s="17">
        <v>266</v>
      </c>
      <c r="K846" s="18"/>
      <c r="L846" s="18"/>
      <c r="M846" s="20"/>
      <c r="N846" s="37">
        <f t="shared" si="36"/>
        <v>0</v>
      </c>
      <c r="O846" s="21">
        <v>0.2</v>
      </c>
      <c r="P846" s="22">
        <v>1E-3</v>
      </c>
    </row>
    <row r="847" spans="1:16" s="1" customFormat="1" ht="119.1" customHeight="1" outlineLevel="4" x14ac:dyDescent="0.2">
      <c r="A847" s="11">
        <v>211279</v>
      </c>
      <c r="B847" s="12" t="s">
        <v>1634</v>
      </c>
      <c r="C847" s="12" t="s">
        <v>22</v>
      </c>
      <c r="D847" s="13"/>
      <c r="E847" s="14" t="s">
        <v>1635</v>
      </c>
      <c r="F847" s="15" t="s">
        <v>113</v>
      </c>
      <c r="G847" s="16"/>
      <c r="H847" s="36">
        <v>651.5</v>
      </c>
      <c r="I847" s="36">
        <f>ROUND(H847-(H847*I2/100),2)</f>
        <v>651.5</v>
      </c>
      <c r="J847" s="17">
        <v>67</v>
      </c>
      <c r="K847" s="18"/>
      <c r="L847" s="18"/>
      <c r="M847" s="20"/>
      <c r="N847" s="37">
        <f t="shared" si="36"/>
        <v>0</v>
      </c>
      <c r="O847" s="21">
        <v>0.3</v>
      </c>
      <c r="P847" s="22">
        <v>5.0000000000000001E-4</v>
      </c>
    </row>
    <row r="848" spans="1:16" s="1" customFormat="1" ht="119.1" customHeight="1" outlineLevel="4" x14ac:dyDescent="0.2">
      <c r="A848" s="11">
        <v>198601</v>
      </c>
      <c r="B848" s="12" t="s">
        <v>1636</v>
      </c>
      <c r="C848" s="12" t="s">
        <v>22</v>
      </c>
      <c r="D848" s="13"/>
      <c r="E848" s="14" t="s">
        <v>1637</v>
      </c>
      <c r="F848" s="15" t="s">
        <v>113</v>
      </c>
      <c r="G848" s="16"/>
      <c r="H848" s="36">
        <v>424</v>
      </c>
      <c r="I848" s="36">
        <f>ROUND(H848-(H848*I2/100),2)</f>
        <v>424</v>
      </c>
      <c r="J848" s="17">
        <v>27</v>
      </c>
      <c r="K848" s="18"/>
      <c r="L848" s="18"/>
      <c r="M848" s="20"/>
      <c r="N848" s="37">
        <f t="shared" si="36"/>
        <v>0</v>
      </c>
      <c r="O848" s="21">
        <v>0.15</v>
      </c>
      <c r="P848" s="22">
        <v>2.9999999999999997E-4</v>
      </c>
    </row>
    <row r="849" spans="1:16" s="1" customFormat="1" ht="119.1" customHeight="1" outlineLevel="4" x14ac:dyDescent="0.2">
      <c r="A849" s="11">
        <v>192920</v>
      </c>
      <c r="B849" s="12" t="s">
        <v>1638</v>
      </c>
      <c r="C849" s="12" t="s">
        <v>22</v>
      </c>
      <c r="D849" s="13"/>
      <c r="E849" s="14" t="s">
        <v>1639</v>
      </c>
      <c r="F849" s="15" t="s">
        <v>113</v>
      </c>
      <c r="G849" s="16"/>
      <c r="H849" s="36">
        <v>181.7</v>
      </c>
      <c r="I849" s="36">
        <f>ROUND(H849-(H849*I2/100),2)</f>
        <v>181.7</v>
      </c>
      <c r="J849" s="17">
        <v>3</v>
      </c>
      <c r="K849" s="18"/>
      <c r="L849" s="18"/>
      <c r="M849" s="20"/>
      <c r="N849" s="37">
        <f t="shared" si="36"/>
        <v>0</v>
      </c>
      <c r="O849" s="21">
        <v>0.03</v>
      </c>
      <c r="P849" s="22">
        <v>4.1E-5</v>
      </c>
    </row>
    <row r="850" spans="1:16" s="1" customFormat="1" ht="119.1" customHeight="1" outlineLevel="4" x14ac:dyDescent="0.2">
      <c r="A850" s="11">
        <v>189589</v>
      </c>
      <c r="B850" s="12" t="s">
        <v>1640</v>
      </c>
      <c r="C850" s="12" t="s">
        <v>22</v>
      </c>
      <c r="D850" s="13"/>
      <c r="E850" s="14" t="s">
        <v>1641</v>
      </c>
      <c r="F850" s="15" t="s">
        <v>113</v>
      </c>
      <c r="G850" s="16"/>
      <c r="H850" s="36">
        <v>161.9</v>
      </c>
      <c r="I850" s="36">
        <f>ROUND(H850-(H850*I2/100),2)</f>
        <v>161.9</v>
      </c>
      <c r="J850" s="17">
        <v>1</v>
      </c>
      <c r="K850" s="18"/>
      <c r="L850" s="18"/>
      <c r="M850" s="20"/>
      <c r="N850" s="37">
        <f t="shared" si="36"/>
        <v>0</v>
      </c>
      <c r="O850" s="21">
        <v>3.3000000000000002E-2</v>
      </c>
      <c r="P850" s="22">
        <v>4.1E-5</v>
      </c>
    </row>
    <row r="851" spans="1:16" s="1" customFormat="1" ht="119.1" customHeight="1" outlineLevel="4" x14ac:dyDescent="0.2">
      <c r="A851" s="11">
        <v>214986</v>
      </c>
      <c r="B851" s="12" t="s">
        <v>1642</v>
      </c>
      <c r="C851" s="12" t="s">
        <v>22</v>
      </c>
      <c r="D851" s="13"/>
      <c r="E851" s="14" t="s">
        <v>1643</v>
      </c>
      <c r="F851" s="15" t="s">
        <v>24</v>
      </c>
      <c r="G851" s="16"/>
      <c r="H851" s="36">
        <v>63.9</v>
      </c>
      <c r="I851" s="36">
        <f>ROUND(H851-(H851*I2/100),2)</f>
        <v>63.9</v>
      </c>
      <c r="J851" s="17">
        <v>830</v>
      </c>
      <c r="K851" s="18"/>
      <c r="L851" s="18"/>
      <c r="M851" s="20"/>
      <c r="N851" s="37">
        <f t="shared" si="36"/>
        <v>0</v>
      </c>
      <c r="O851" s="21">
        <v>0.2</v>
      </c>
      <c r="P851" s="22">
        <v>2.0000000000000001E-4</v>
      </c>
    </row>
    <row r="852" spans="1:16" s="1" customFormat="1" ht="119.1" customHeight="1" outlineLevel="4" x14ac:dyDescent="0.2">
      <c r="A852" s="11">
        <v>214987</v>
      </c>
      <c r="B852" s="12" t="s">
        <v>1644</v>
      </c>
      <c r="C852" s="12" t="s">
        <v>22</v>
      </c>
      <c r="D852" s="13"/>
      <c r="E852" s="14" t="s">
        <v>1645</v>
      </c>
      <c r="F852" s="15" t="s">
        <v>24</v>
      </c>
      <c r="G852" s="16"/>
      <c r="H852" s="36">
        <v>63.9</v>
      </c>
      <c r="I852" s="36">
        <f>ROUND(H852-(H852*I2/100),2)</f>
        <v>63.9</v>
      </c>
      <c r="J852" s="17">
        <v>860</v>
      </c>
      <c r="K852" s="18"/>
      <c r="L852" s="18"/>
      <c r="M852" s="20"/>
      <c r="N852" s="37">
        <f t="shared" si="36"/>
        <v>0</v>
      </c>
      <c r="O852" s="21">
        <v>0.2</v>
      </c>
      <c r="P852" s="22">
        <v>2.0000000000000001E-4</v>
      </c>
    </row>
    <row r="853" spans="1:16" s="1" customFormat="1" ht="119.1" customHeight="1" outlineLevel="4" x14ac:dyDescent="0.2">
      <c r="A853" s="11">
        <v>181159</v>
      </c>
      <c r="B853" s="12" t="s">
        <v>1646</v>
      </c>
      <c r="C853" s="12" t="s">
        <v>22</v>
      </c>
      <c r="D853" s="13"/>
      <c r="E853" s="14" t="s">
        <v>1647</v>
      </c>
      <c r="F853" s="15" t="s">
        <v>113</v>
      </c>
      <c r="G853" s="16"/>
      <c r="H853" s="36">
        <v>424.1</v>
      </c>
      <c r="I853" s="36">
        <f>ROUND(H853-(H853*I2/100),2)</f>
        <v>424.1</v>
      </c>
      <c r="J853" s="17">
        <v>82</v>
      </c>
      <c r="K853" s="18"/>
      <c r="L853" s="18"/>
      <c r="M853" s="20"/>
      <c r="N853" s="37">
        <f t="shared" si="36"/>
        <v>0</v>
      </c>
      <c r="O853" s="21">
        <v>9.8000000000000004E-2</v>
      </c>
      <c r="P853" s="22">
        <v>2.3800000000000001E-4</v>
      </c>
    </row>
    <row r="854" spans="1:16" s="1" customFormat="1" ht="119.1" customHeight="1" outlineLevel="4" x14ac:dyDescent="0.2">
      <c r="A854" s="11">
        <v>192269</v>
      </c>
      <c r="B854" s="12" t="s">
        <v>1648</v>
      </c>
      <c r="C854" s="12" t="s">
        <v>22</v>
      </c>
      <c r="D854" s="28"/>
      <c r="E854" s="29" t="s">
        <v>1649</v>
      </c>
      <c r="F854" s="30" t="s">
        <v>113</v>
      </c>
      <c r="G854" s="31" t="s">
        <v>209</v>
      </c>
      <c r="H854" s="36">
        <v>927.8</v>
      </c>
      <c r="I854" s="36">
        <f>ROUND(H854-(H854*I2/100),2)</f>
        <v>927.8</v>
      </c>
      <c r="J854" s="17">
        <v>1</v>
      </c>
      <c r="K854" s="18"/>
      <c r="L854" s="18"/>
      <c r="M854" s="20"/>
      <c r="N854" s="37">
        <f t="shared" si="36"/>
        <v>0</v>
      </c>
      <c r="O854" s="21">
        <v>0.28299999999999997</v>
      </c>
      <c r="P854" s="22">
        <v>7.2900000000000005E-4</v>
      </c>
    </row>
    <row r="855" spans="1:16" s="1" customFormat="1" ht="119.1" customHeight="1" outlineLevel="4" x14ac:dyDescent="0.2">
      <c r="A855" s="11">
        <v>187707</v>
      </c>
      <c r="B855" s="12" t="s">
        <v>1650</v>
      </c>
      <c r="C855" s="12" t="s">
        <v>22</v>
      </c>
      <c r="D855" s="13"/>
      <c r="E855" s="14" t="s">
        <v>1651</v>
      </c>
      <c r="F855" s="15" t="s">
        <v>113</v>
      </c>
      <c r="G855" s="16"/>
      <c r="H855" s="36">
        <v>108.2</v>
      </c>
      <c r="I855" s="36">
        <f>ROUND(H855-(H855*I2/100),2)</f>
        <v>108.2</v>
      </c>
      <c r="J855" s="17">
        <v>25</v>
      </c>
      <c r="K855" s="18"/>
      <c r="L855" s="18"/>
      <c r="M855" s="20"/>
      <c r="N855" s="37">
        <f t="shared" si="36"/>
        <v>0</v>
      </c>
      <c r="O855" s="21">
        <v>4.8000000000000001E-2</v>
      </c>
      <c r="P855" s="22">
        <v>4.6999999999999997E-5</v>
      </c>
    </row>
    <row r="856" spans="1:16" s="1" customFormat="1" ht="119.1" customHeight="1" outlineLevel="4" x14ac:dyDescent="0.2">
      <c r="A856" s="11">
        <v>192245</v>
      </c>
      <c r="B856" s="12" t="s">
        <v>1652</v>
      </c>
      <c r="C856" s="12" t="s">
        <v>22</v>
      </c>
      <c r="D856" s="13"/>
      <c r="E856" s="14" t="s">
        <v>1653</v>
      </c>
      <c r="F856" s="15" t="s">
        <v>113</v>
      </c>
      <c r="G856" s="16"/>
      <c r="H856" s="36">
        <v>86.6</v>
      </c>
      <c r="I856" s="36">
        <f>ROUND(H856-(H856*I2/100),2)</f>
        <v>86.6</v>
      </c>
      <c r="J856" s="17">
        <v>12</v>
      </c>
      <c r="K856" s="18"/>
      <c r="L856" s="18"/>
      <c r="M856" s="20"/>
      <c r="N856" s="37">
        <f t="shared" si="36"/>
        <v>0</v>
      </c>
      <c r="O856" s="21">
        <v>4.4999999999999998E-2</v>
      </c>
      <c r="P856" s="22">
        <v>4.5000000000000003E-5</v>
      </c>
    </row>
    <row r="857" spans="1:16" s="1" customFormat="1" ht="119.1" customHeight="1" outlineLevel="4" x14ac:dyDescent="0.2">
      <c r="A857" s="11">
        <v>192248</v>
      </c>
      <c r="B857" s="12" t="s">
        <v>1654</v>
      </c>
      <c r="C857" s="12" t="s">
        <v>22</v>
      </c>
      <c r="D857" s="13"/>
      <c r="E857" s="14" t="s">
        <v>1655</v>
      </c>
      <c r="F857" s="15" t="s">
        <v>24</v>
      </c>
      <c r="G857" s="16"/>
      <c r="H857" s="36">
        <v>137.9</v>
      </c>
      <c r="I857" s="36">
        <f>ROUND(H857-(H857*I2/100),2)</f>
        <v>137.9</v>
      </c>
      <c r="J857" s="17">
        <v>232</v>
      </c>
      <c r="K857" s="18"/>
      <c r="L857" s="18"/>
      <c r="M857" s="20"/>
      <c r="N857" s="37">
        <f t="shared" si="36"/>
        <v>0</v>
      </c>
      <c r="O857" s="21">
        <v>3.5000000000000003E-2</v>
      </c>
      <c r="P857" s="22">
        <v>4.1E-5</v>
      </c>
    </row>
    <row r="858" spans="1:16" s="1" customFormat="1" ht="119.1" customHeight="1" outlineLevel="4" x14ac:dyDescent="0.2">
      <c r="A858" s="11">
        <v>192246</v>
      </c>
      <c r="B858" s="12" t="s">
        <v>1656</v>
      </c>
      <c r="C858" s="12" t="s">
        <v>22</v>
      </c>
      <c r="D858" s="13"/>
      <c r="E858" s="14" t="s">
        <v>1657</v>
      </c>
      <c r="F858" s="15" t="s">
        <v>113</v>
      </c>
      <c r="G858" s="16"/>
      <c r="H858" s="36">
        <v>96</v>
      </c>
      <c r="I858" s="36">
        <f>ROUND(H858-(H858*I2/100),2)</f>
        <v>96</v>
      </c>
      <c r="J858" s="17">
        <v>54</v>
      </c>
      <c r="K858" s="18"/>
      <c r="L858" s="18"/>
      <c r="M858" s="20"/>
      <c r="N858" s="37">
        <f t="shared" si="36"/>
        <v>0</v>
      </c>
      <c r="O858" s="21">
        <v>4.3999999999999997E-2</v>
      </c>
      <c r="P858" s="22">
        <v>4.5000000000000003E-5</v>
      </c>
    </row>
    <row r="859" spans="1:16" s="1" customFormat="1" ht="119.1" customHeight="1" outlineLevel="4" x14ac:dyDescent="0.2">
      <c r="A859" s="11">
        <v>186192</v>
      </c>
      <c r="B859" s="12" t="s">
        <v>1658</v>
      </c>
      <c r="C859" s="12" t="s">
        <v>22</v>
      </c>
      <c r="D859" s="13"/>
      <c r="E859" s="14" t="s">
        <v>1659</v>
      </c>
      <c r="F859" s="15" t="s">
        <v>113</v>
      </c>
      <c r="G859" s="16"/>
      <c r="H859" s="36">
        <v>311</v>
      </c>
      <c r="I859" s="36">
        <f>ROUND(H859-(H859*I2/100),2)</f>
        <v>311</v>
      </c>
      <c r="J859" s="17">
        <v>18</v>
      </c>
      <c r="K859" s="18"/>
      <c r="L859" s="18"/>
      <c r="M859" s="20"/>
      <c r="N859" s="37">
        <f t="shared" si="36"/>
        <v>0</v>
      </c>
      <c r="O859" s="21">
        <v>0.11899999999999999</v>
      </c>
      <c r="P859" s="22">
        <v>2.0000000000000001E-4</v>
      </c>
    </row>
    <row r="860" spans="1:16" s="8" customFormat="1" ht="15.95" customHeight="1" outlineLevel="3" x14ac:dyDescent="0.25">
      <c r="A860" s="9"/>
      <c r="B860" s="10"/>
      <c r="C860" s="10"/>
      <c r="D860" s="10" t="s">
        <v>1660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 spans="1:16" s="1" customFormat="1" ht="119.1" customHeight="1" outlineLevel="4" x14ac:dyDescent="0.2">
      <c r="A861" s="11">
        <v>181151</v>
      </c>
      <c r="B861" s="12" t="s">
        <v>1661</v>
      </c>
      <c r="C861" s="12" t="s">
        <v>22</v>
      </c>
      <c r="D861" s="13"/>
      <c r="E861" s="14" t="s">
        <v>1662</v>
      </c>
      <c r="F861" s="15" t="s">
        <v>24</v>
      </c>
      <c r="G861" s="16"/>
      <c r="H861" s="36">
        <v>268.39999999999998</v>
      </c>
      <c r="I861" s="36">
        <f>ROUND(H861-(H861*I2/100),2)</f>
        <v>268.39999999999998</v>
      </c>
      <c r="J861" s="17">
        <v>56</v>
      </c>
      <c r="K861" s="18"/>
      <c r="L861" s="18"/>
      <c r="M861" s="20"/>
      <c r="N861" s="37">
        <f t="shared" ref="N861:N866" si="37">I861*M861</f>
        <v>0</v>
      </c>
      <c r="O861" s="21">
        <v>0.18</v>
      </c>
      <c r="P861" s="22">
        <v>8.7799999999999998E-4</v>
      </c>
    </row>
    <row r="862" spans="1:16" s="1" customFormat="1" ht="119.1" customHeight="1" outlineLevel="4" x14ac:dyDescent="0.2">
      <c r="A862" s="11">
        <v>181155</v>
      </c>
      <c r="B862" s="12" t="s">
        <v>1663</v>
      </c>
      <c r="C862" s="12" t="s">
        <v>22</v>
      </c>
      <c r="D862" s="13"/>
      <c r="E862" s="14" t="s">
        <v>1664</v>
      </c>
      <c r="F862" s="15" t="s">
        <v>24</v>
      </c>
      <c r="G862" s="16"/>
      <c r="H862" s="36">
        <v>294.5</v>
      </c>
      <c r="I862" s="36">
        <f>ROUND(H862-(H862*I2/100),2)</f>
        <v>294.5</v>
      </c>
      <c r="J862" s="17">
        <v>271</v>
      </c>
      <c r="K862" s="18"/>
      <c r="L862" s="18"/>
      <c r="M862" s="20"/>
      <c r="N862" s="37">
        <f t="shared" si="37"/>
        <v>0</v>
      </c>
      <c r="O862" s="21">
        <v>0.22</v>
      </c>
      <c r="P862" s="22">
        <v>8.7799999999999998E-4</v>
      </c>
    </row>
    <row r="863" spans="1:16" s="1" customFormat="1" ht="119.1" customHeight="1" outlineLevel="4" x14ac:dyDescent="0.2">
      <c r="A863" s="11">
        <v>189593</v>
      </c>
      <c r="B863" s="12" t="s">
        <v>1665</v>
      </c>
      <c r="C863" s="12" t="s">
        <v>22</v>
      </c>
      <c r="D863" s="13"/>
      <c r="E863" s="14" t="s">
        <v>1666</v>
      </c>
      <c r="F863" s="15" t="s">
        <v>24</v>
      </c>
      <c r="G863" s="16"/>
      <c r="H863" s="36">
        <v>333.2</v>
      </c>
      <c r="I863" s="36">
        <f>ROUND(H863-(H863*I2/100),2)</f>
        <v>333.2</v>
      </c>
      <c r="J863" s="17">
        <v>30</v>
      </c>
      <c r="K863" s="18"/>
      <c r="L863" s="18"/>
      <c r="M863" s="20"/>
      <c r="N863" s="37">
        <f t="shared" si="37"/>
        <v>0</v>
      </c>
      <c r="O863" s="21">
        <v>0.23</v>
      </c>
      <c r="P863" s="22">
        <v>8.7799999999999998E-4</v>
      </c>
    </row>
    <row r="864" spans="1:16" s="1" customFormat="1" ht="119.1" customHeight="1" outlineLevel="4" x14ac:dyDescent="0.2">
      <c r="A864" s="11">
        <v>181156</v>
      </c>
      <c r="B864" s="12" t="s">
        <v>1667</v>
      </c>
      <c r="C864" s="12" t="s">
        <v>22</v>
      </c>
      <c r="D864" s="13"/>
      <c r="E864" s="14" t="s">
        <v>1668</v>
      </c>
      <c r="F864" s="15" t="s">
        <v>24</v>
      </c>
      <c r="G864" s="16"/>
      <c r="H864" s="36">
        <v>340.8</v>
      </c>
      <c r="I864" s="36">
        <f>ROUND(H864-(H864*I2/100),2)</f>
        <v>340.8</v>
      </c>
      <c r="J864" s="17">
        <v>43</v>
      </c>
      <c r="K864" s="18"/>
      <c r="L864" s="18"/>
      <c r="M864" s="20"/>
      <c r="N864" s="37">
        <f t="shared" si="37"/>
        <v>0</v>
      </c>
      <c r="O864" s="21">
        <v>0.24</v>
      </c>
      <c r="P864" s="22">
        <v>8.7799999999999998E-4</v>
      </c>
    </row>
    <row r="865" spans="1:16" s="1" customFormat="1" ht="119.1" customHeight="1" outlineLevel="4" x14ac:dyDescent="0.2">
      <c r="A865" s="11">
        <v>181157</v>
      </c>
      <c r="B865" s="12" t="s">
        <v>1669</v>
      </c>
      <c r="C865" s="12" t="s">
        <v>22</v>
      </c>
      <c r="D865" s="13"/>
      <c r="E865" s="14" t="s">
        <v>1670</v>
      </c>
      <c r="F865" s="15" t="s">
        <v>24</v>
      </c>
      <c r="G865" s="16"/>
      <c r="H865" s="36">
        <v>354.4</v>
      </c>
      <c r="I865" s="36">
        <f>ROUND(H865-(H865*I2/100),2)</f>
        <v>354.4</v>
      </c>
      <c r="J865" s="17">
        <v>39</v>
      </c>
      <c r="K865" s="18"/>
      <c r="L865" s="18"/>
      <c r="M865" s="20"/>
      <c r="N865" s="37">
        <f t="shared" si="37"/>
        <v>0</v>
      </c>
      <c r="O865" s="21">
        <v>0.25</v>
      </c>
      <c r="P865" s="22">
        <v>8.7799999999999998E-4</v>
      </c>
    </row>
    <row r="866" spans="1:16" s="1" customFormat="1" ht="119.1" customHeight="1" outlineLevel="4" x14ac:dyDescent="0.2">
      <c r="A866" s="11">
        <v>212247</v>
      </c>
      <c r="B866" s="12" t="s">
        <v>1671</v>
      </c>
      <c r="C866" s="12" t="s">
        <v>50</v>
      </c>
      <c r="D866" s="13"/>
      <c r="E866" s="14" t="s">
        <v>1672</v>
      </c>
      <c r="F866" s="15" t="s">
        <v>24</v>
      </c>
      <c r="G866" s="16"/>
      <c r="H866" s="36">
        <v>307</v>
      </c>
      <c r="I866" s="36">
        <f>ROUND(H866-(H866*I2/100),2)</f>
        <v>307</v>
      </c>
      <c r="J866" s="17">
        <v>3</v>
      </c>
      <c r="K866" s="18"/>
      <c r="L866" s="18"/>
      <c r="M866" s="20"/>
      <c r="N866" s="37">
        <f t="shared" si="37"/>
        <v>0</v>
      </c>
      <c r="O866" s="21">
        <v>0.3</v>
      </c>
      <c r="P866" s="22">
        <v>2E-3</v>
      </c>
    </row>
    <row r="867" spans="1:16" s="8" customFormat="1" ht="15.95" customHeight="1" outlineLevel="3" x14ac:dyDescent="0.25">
      <c r="A867" s="9"/>
      <c r="B867" s="10"/>
      <c r="C867" s="10"/>
      <c r="D867" s="10" t="s">
        <v>1673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 spans="1:16" s="1" customFormat="1" ht="119.1" customHeight="1" outlineLevel="4" x14ac:dyDescent="0.2">
      <c r="A868" s="11">
        <v>216890</v>
      </c>
      <c r="B868" s="12" t="s">
        <v>1674</v>
      </c>
      <c r="C868" s="12" t="s">
        <v>50</v>
      </c>
      <c r="D868" s="13"/>
      <c r="E868" s="14" t="s">
        <v>1675</v>
      </c>
      <c r="F868" s="15" t="s">
        <v>24</v>
      </c>
      <c r="G868" s="16"/>
      <c r="H868" s="36">
        <v>622.20000000000005</v>
      </c>
      <c r="I868" s="36">
        <f>ROUND(H868-(H868*I2/100),2)</f>
        <v>622.20000000000005</v>
      </c>
      <c r="J868" s="17">
        <v>34</v>
      </c>
      <c r="K868" s="18"/>
      <c r="L868" s="18"/>
      <c r="M868" s="20"/>
      <c r="N868" s="37">
        <f>I868*M868</f>
        <v>0</v>
      </c>
      <c r="O868" s="21">
        <v>0.39400000000000002</v>
      </c>
      <c r="P868" s="22">
        <v>3.2499999999999999E-3</v>
      </c>
    </row>
    <row r="869" spans="1:16" s="1" customFormat="1" ht="119.1" customHeight="1" outlineLevel="4" x14ac:dyDescent="0.2">
      <c r="A869" s="11">
        <v>197303</v>
      </c>
      <c r="B869" s="12" t="s">
        <v>1676</v>
      </c>
      <c r="C869" s="12" t="s">
        <v>50</v>
      </c>
      <c r="D869" s="13"/>
      <c r="E869" s="14" t="s">
        <v>1677</v>
      </c>
      <c r="F869" s="15" t="s">
        <v>24</v>
      </c>
      <c r="G869" s="16"/>
      <c r="H869" s="36">
        <v>149</v>
      </c>
      <c r="I869" s="36">
        <f>ROUND(H869-(H869*I2/100),2)</f>
        <v>149</v>
      </c>
      <c r="J869" s="27">
        <v>1569</v>
      </c>
      <c r="K869" s="18"/>
      <c r="L869" s="18"/>
      <c r="M869" s="20"/>
      <c r="N869" s="37">
        <f>I869*M869</f>
        <v>0</v>
      </c>
      <c r="O869" s="21">
        <v>4.7E-2</v>
      </c>
      <c r="P869" s="22">
        <v>2.2800000000000001E-4</v>
      </c>
    </row>
    <row r="870" spans="1:16" s="1" customFormat="1" ht="119.1" customHeight="1" outlineLevel="4" x14ac:dyDescent="0.2">
      <c r="A870" s="11">
        <v>168124</v>
      </c>
      <c r="B870" s="12" t="s">
        <v>1678</v>
      </c>
      <c r="C870" s="12" t="s">
        <v>22</v>
      </c>
      <c r="D870" s="13"/>
      <c r="E870" s="14" t="s">
        <v>1679</v>
      </c>
      <c r="F870" s="15" t="s">
        <v>24</v>
      </c>
      <c r="G870" s="16"/>
      <c r="H870" s="36">
        <v>146.19999999999999</v>
      </c>
      <c r="I870" s="36">
        <f>ROUND(H870-(H870*I2/100),2)</f>
        <v>146.19999999999999</v>
      </c>
      <c r="J870" s="17">
        <v>224</v>
      </c>
      <c r="K870" s="18"/>
      <c r="L870" s="18"/>
      <c r="M870" s="20"/>
      <c r="N870" s="37">
        <f>I870*M870</f>
        <v>0</v>
      </c>
      <c r="O870" s="21">
        <v>2.9000000000000001E-2</v>
      </c>
      <c r="P870" s="22">
        <v>1.2999999999999999E-4</v>
      </c>
    </row>
    <row r="871" spans="1:16" s="1" customFormat="1" ht="119.1" customHeight="1" outlineLevel="4" x14ac:dyDescent="0.2">
      <c r="A871" s="11">
        <v>178137</v>
      </c>
      <c r="B871" s="12" t="s">
        <v>1680</v>
      </c>
      <c r="C871" s="12" t="s">
        <v>22</v>
      </c>
      <c r="D871" s="13"/>
      <c r="E871" s="14" t="s">
        <v>1681</v>
      </c>
      <c r="F871" s="15" t="s">
        <v>24</v>
      </c>
      <c r="G871" s="16"/>
      <c r="H871" s="36">
        <v>228.6</v>
      </c>
      <c r="I871" s="36">
        <f>ROUND(H871-(H871*I2/100),2)</f>
        <v>228.6</v>
      </c>
      <c r="J871" s="17">
        <v>201</v>
      </c>
      <c r="K871" s="18"/>
      <c r="L871" s="18"/>
      <c r="M871" s="20"/>
      <c r="N871" s="37">
        <f>I871*M871</f>
        <v>0</v>
      </c>
      <c r="O871" s="21">
        <v>8.7999999999999995E-2</v>
      </c>
      <c r="P871" s="22">
        <v>1.93E-4</v>
      </c>
    </row>
    <row r="872" spans="1:16" s="1" customFormat="1" ht="119.1" customHeight="1" outlineLevel="4" x14ac:dyDescent="0.2">
      <c r="A872" s="11">
        <v>181160</v>
      </c>
      <c r="B872" s="12" t="s">
        <v>1682</v>
      </c>
      <c r="C872" s="12" t="s">
        <v>22</v>
      </c>
      <c r="D872" s="13"/>
      <c r="E872" s="14" t="s">
        <v>1683</v>
      </c>
      <c r="F872" s="15" t="s">
        <v>24</v>
      </c>
      <c r="G872" s="16"/>
      <c r="H872" s="36">
        <v>205.5</v>
      </c>
      <c r="I872" s="36">
        <f>ROUND(H872-(H872*I2/100),2)</f>
        <v>205.5</v>
      </c>
      <c r="J872" s="17">
        <v>20</v>
      </c>
      <c r="K872" s="18"/>
      <c r="L872" s="18"/>
      <c r="M872" s="20"/>
      <c r="N872" s="37">
        <f>I872*M872</f>
        <v>0</v>
      </c>
      <c r="O872" s="21">
        <v>0.05</v>
      </c>
      <c r="P872" s="22">
        <v>2.2800000000000001E-4</v>
      </c>
    </row>
    <row r="873" spans="1:16" s="8" customFormat="1" ht="15.95" customHeight="1" outlineLevel="3" x14ac:dyDescent="0.25">
      <c r="A873" s="9"/>
      <c r="B873" s="10"/>
      <c r="C873" s="10"/>
      <c r="D873" s="10" t="s">
        <v>1684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 spans="1:16" s="1" customFormat="1" ht="119.1" customHeight="1" outlineLevel="4" x14ac:dyDescent="0.2">
      <c r="A874" s="11">
        <v>151390</v>
      </c>
      <c r="B874" s="12" t="s">
        <v>1685</v>
      </c>
      <c r="C874" s="12" t="s">
        <v>22</v>
      </c>
      <c r="D874" s="13"/>
      <c r="E874" s="14" t="s">
        <v>1686</v>
      </c>
      <c r="F874" s="15" t="s">
        <v>24</v>
      </c>
      <c r="G874" s="16"/>
      <c r="H874" s="36">
        <v>1193.4000000000001</v>
      </c>
      <c r="I874" s="36">
        <f>ROUND(H874-(H874*I2/100),2)</f>
        <v>1193.4000000000001</v>
      </c>
      <c r="J874" s="17">
        <v>16</v>
      </c>
      <c r="K874" s="18"/>
      <c r="L874" s="18"/>
      <c r="M874" s="20"/>
      <c r="N874" s="37">
        <f t="shared" ref="N874:N905" si="38">I874*M874</f>
        <v>0</v>
      </c>
      <c r="O874" s="21">
        <v>1.833</v>
      </c>
      <c r="P874" s="22">
        <v>4.5599999999999998E-3</v>
      </c>
    </row>
    <row r="875" spans="1:16" s="1" customFormat="1" ht="119.1" customHeight="1" outlineLevel="4" x14ac:dyDescent="0.2">
      <c r="A875" s="11">
        <v>167364</v>
      </c>
      <c r="B875" s="12" t="s">
        <v>1687</v>
      </c>
      <c r="C875" s="12" t="s">
        <v>22</v>
      </c>
      <c r="D875" s="13"/>
      <c r="E875" s="14" t="s">
        <v>1688</v>
      </c>
      <c r="F875" s="15" t="s">
        <v>24</v>
      </c>
      <c r="G875" s="16"/>
      <c r="H875" s="36">
        <v>2196.1</v>
      </c>
      <c r="I875" s="36">
        <f>ROUND(H875-(H875*I2/100),2)</f>
        <v>2196.1</v>
      </c>
      <c r="J875" s="17">
        <v>17</v>
      </c>
      <c r="K875" s="18"/>
      <c r="L875" s="18"/>
      <c r="M875" s="20"/>
      <c r="N875" s="37">
        <f t="shared" si="38"/>
        <v>0</v>
      </c>
      <c r="O875" s="21">
        <v>4.1500000000000004</v>
      </c>
      <c r="P875" s="22">
        <v>1.0999999999999999E-2</v>
      </c>
    </row>
    <row r="876" spans="1:16" s="1" customFormat="1" ht="119.1" customHeight="1" outlineLevel="4" x14ac:dyDescent="0.2">
      <c r="A876" s="11">
        <v>170564</v>
      </c>
      <c r="B876" s="12" t="s">
        <v>1689</v>
      </c>
      <c r="C876" s="12" t="s">
        <v>22</v>
      </c>
      <c r="D876" s="13"/>
      <c r="E876" s="14" t="s">
        <v>1690</v>
      </c>
      <c r="F876" s="15" t="s">
        <v>24</v>
      </c>
      <c r="G876" s="16"/>
      <c r="H876" s="36">
        <v>337.5</v>
      </c>
      <c r="I876" s="36">
        <f>ROUND(H876-(H876*I2/100),2)</f>
        <v>337.5</v>
      </c>
      <c r="J876" s="17">
        <v>174</v>
      </c>
      <c r="K876" s="18"/>
      <c r="L876" s="18"/>
      <c r="M876" s="20"/>
      <c r="N876" s="37">
        <f t="shared" si="38"/>
        <v>0</v>
      </c>
      <c r="O876" s="21">
        <v>0.36399999999999999</v>
      </c>
      <c r="P876" s="22">
        <v>3.2000000000000003E-4</v>
      </c>
    </row>
    <row r="877" spans="1:16" s="1" customFormat="1" ht="119.1" customHeight="1" outlineLevel="4" x14ac:dyDescent="0.2">
      <c r="A877" s="11">
        <v>151388</v>
      </c>
      <c r="B877" s="12" t="s">
        <v>1691</v>
      </c>
      <c r="C877" s="12" t="s">
        <v>22</v>
      </c>
      <c r="D877" s="13"/>
      <c r="E877" s="14" t="s">
        <v>1692</v>
      </c>
      <c r="F877" s="15" t="s">
        <v>24</v>
      </c>
      <c r="G877" s="16"/>
      <c r="H877" s="36">
        <v>346.9</v>
      </c>
      <c r="I877" s="36">
        <f>ROUND(H877-(H877*I2/100),2)</f>
        <v>346.9</v>
      </c>
      <c r="J877" s="17">
        <v>237</v>
      </c>
      <c r="K877" s="18"/>
      <c r="L877" s="18"/>
      <c r="M877" s="20"/>
      <c r="N877" s="37">
        <f t="shared" si="38"/>
        <v>0</v>
      </c>
      <c r="O877" s="21">
        <v>0.4</v>
      </c>
      <c r="P877" s="22">
        <v>3.8400000000000001E-4</v>
      </c>
    </row>
    <row r="878" spans="1:16" s="1" customFormat="1" ht="119.1" customHeight="1" outlineLevel="4" x14ac:dyDescent="0.2">
      <c r="A878" s="11">
        <v>207340</v>
      </c>
      <c r="B878" s="12" t="s">
        <v>1693</v>
      </c>
      <c r="C878" s="12" t="s">
        <v>50</v>
      </c>
      <c r="D878" s="13"/>
      <c r="E878" s="14" t="s">
        <v>1694</v>
      </c>
      <c r="F878" s="15" t="s">
        <v>24</v>
      </c>
      <c r="G878" s="16"/>
      <c r="H878" s="36">
        <v>253.4</v>
      </c>
      <c r="I878" s="36">
        <f>ROUND(H878-(H878*I2/100),2)</f>
        <v>253.4</v>
      </c>
      <c r="J878" s="17">
        <v>4</v>
      </c>
      <c r="K878" s="18"/>
      <c r="L878" s="18"/>
      <c r="M878" s="20"/>
      <c r="N878" s="37">
        <f t="shared" si="38"/>
        <v>0</v>
      </c>
      <c r="O878" s="21">
        <v>0.3</v>
      </c>
      <c r="P878" s="22">
        <v>3.8499999999999998E-4</v>
      </c>
    </row>
    <row r="879" spans="1:16" s="1" customFormat="1" ht="119.1" customHeight="1" outlineLevel="4" x14ac:dyDescent="0.2">
      <c r="A879" s="11">
        <v>165315</v>
      </c>
      <c r="B879" s="12" t="s">
        <v>1695</v>
      </c>
      <c r="C879" s="12" t="s">
        <v>22</v>
      </c>
      <c r="D879" s="13"/>
      <c r="E879" s="14" t="s">
        <v>1696</v>
      </c>
      <c r="F879" s="15" t="s">
        <v>24</v>
      </c>
      <c r="G879" s="16"/>
      <c r="H879" s="36">
        <v>365.6</v>
      </c>
      <c r="I879" s="36">
        <f>ROUND(H879-(H879*I2/100),2)</f>
        <v>365.6</v>
      </c>
      <c r="J879" s="17">
        <v>180</v>
      </c>
      <c r="K879" s="18"/>
      <c r="L879" s="18"/>
      <c r="M879" s="20"/>
      <c r="N879" s="37">
        <f t="shared" si="38"/>
        <v>0</v>
      </c>
      <c r="O879" s="21">
        <v>0.41</v>
      </c>
      <c r="P879" s="22">
        <v>4.4799999999999999E-4</v>
      </c>
    </row>
    <row r="880" spans="1:16" s="1" customFormat="1" ht="119.1" customHeight="1" outlineLevel="4" x14ac:dyDescent="0.2">
      <c r="A880" s="11">
        <v>207341</v>
      </c>
      <c r="B880" s="12" t="s">
        <v>1697</v>
      </c>
      <c r="C880" s="12" t="s">
        <v>50</v>
      </c>
      <c r="D880" s="13"/>
      <c r="E880" s="14" t="s">
        <v>1698</v>
      </c>
      <c r="F880" s="15" t="s">
        <v>24</v>
      </c>
      <c r="G880" s="16"/>
      <c r="H880" s="36">
        <v>271.3</v>
      </c>
      <c r="I880" s="36">
        <f>ROUND(H880-(H880*I2/100),2)</f>
        <v>271.3</v>
      </c>
      <c r="J880" s="17">
        <v>7</v>
      </c>
      <c r="K880" s="18"/>
      <c r="L880" s="18"/>
      <c r="M880" s="20"/>
      <c r="N880" s="37">
        <f t="shared" si="38"/>
        <v>0</v>
      </c>
      <c r="O880" s="21">
        <v>0.3</v>
      </c>
      <c r="P880" s="22">
        <v>4.8799999999999999E-4</v>
      </c>
    </row>
    <row r="881" spans="1:16" s="1" customFormat="1" ht="119.1" customHeight="1" outlineLevel="4" x14ac:dyDescent="0.2">
      <c r="A881" s="11">
        <v>216985</v>
      </c>
      <c r="B881" s="12" t="s">
        <v>1699</v>
      </c>
      <c r="C881" s="12" t="s">
        <v>50</v>
      </c>
      <c r="D881" s="13"/>
      <c r="E881" s="14" t="s">
        <v>1700</v>
      </c>
      <c r="F881" s="15" t="s">
        <v>24</v>
      </c>
      <c r="G881" s="16"/>
      <c r="H881" s="36">
        <v>406.1</v>
      </c>
      <c r="I881" s="36">
        <f>ROUND(H881-(H881*I2/100),2)</f>
        <v>406.1</v>
      </c>
      <c r="J881" s="17">
        <v>14</v>
      </c>
      <c r="K881" s="18"/>
      <c r="L881" s="18"/>
      <c r="M881" s="20"/>
      <c r="N881" s="37">
        <f t="shared" si="38"/>
        <v>0</v>
      </c>
      <c r="O881" s="21">
        <v>0.68700000000000006</v>
      </c>
      <c r="P881" s="22">
        <v>1.2600000000000001E-3</v>
      </c>
    </row>
    <row r="882" spans="1:16" s="1" customFormat="1" ht="119.1" customHeight="1" outlineLevel="4" x14ac:dyDescent="0.2">
      <c r="A882" s="11">
        <v>165317</v>
      </c>
      <c r="B882" s="12" t="s">
        <v>1701</v>
      </c>
      <c r="C882" s="12" t="s">
        <v>22</v>
      </c>
      <c r="D882" s="13"/>
      <c r="E882" s="14" t="s">
        <v>1702</v>
      </c>
      <c r="F882" s="15" t="s">
        <v>24</v>
      </c>
      <c r="G882" s="16"/>
      <c r="H882" s="36">
        <v>1038</v>
      </c>
      <c r="I882" s="36">
        <f>ROUND(H882-(H882*I2/100),2)</f>
        <v>1038</v>
      </c>
      <c r="J882" s="17">
        <v>8</v>
      </c>
      <c r="K882" s="18"/>
      <c r="L882" s="18"/>
      <c r="M882" s="20"/>
      <c r="N882" s="37">
        <f t="shared" si="38"/>
        <v>0</v>
      </c>
      <c r="O882" s="21">
        <v>1.5</v>
      </c>
      <c r="P882" s="22">
        <v>3.0400000000000002E-3</v>
      </c>
    </row>
    <row r="883" spans="1:16" s="1" customFormat="1" ht="119.1" customHeight="1" outlineLevel="4" x14ac:dyDescent="0.2">
      <c r="A883" s="11">
        <v>216983</v>
      </c>
      <c r="B883" s="12" t="s">
        <v>1703</v>
      </c>
      <c r="C883" s="12" t="s">
        <v>50</v>
      </c>
      <c r="D883" s="13"/>
      <c r="E883" s="14" t="s">
        <v>1704</v>
      </c>
      <c r="F883" s="15" t="s">
        <v>24</v>
      </c>
      <c r="G883" s="16"/>
      <c r="H883" s="36">
        <v>593.70000000000005</v>
      </c>
      <c r="I883" s="36">
        <f>ROUND(H883-(H883*I2/100),2)</f>
        <v>593.70000000000005</v>
      </c>
      <c r="J883" s="17">
        <v>17</v>
      </c>
      <c r="K883" s="18"/>
      <c r="L883" s="18"/>
      <c r="M883" s="20"/>
      <c r="N883" s="37">
        <f t="shared" si="38"/>
        <v>0</v>
      </c>
      <c r="O883" s="21">
        <v>0.95</v>
      </c>
      <c r="P883" s="22">
        <v>3.0400000000000002E-3</v>
      </c>
    </row>
    <row r="884" spans="1:16" s="1" customFormat="1" ht="119.1" customHeight="1" outlineLevel="4" x14ac:dyDescent="0.2">
      <c r="A884" s="11">
        <v>151389</v>
      </c>
      <c r="B884" s="12" t="s">
        <v>1705</v>
      </c>
      <c r="C884" s="12" t="s">
        <v>22</v>
      </c>
      <c r="D884" s="13"/>
      <c r="E884" s="14" t="s">
        <v>1706</v>
      </c>
      <c r="F884" s="15" t="s">
        <v>24</v>
      </c>
      <c r="G884" s="16"/>
      <c r="H884" s="36">
        <v>1097.9000000000001</v>
      </c>
      <c r="I884" s="36">
        <f>ROUND(H884-(H884*I2/100),2)</f>
        <v>1097.9000000000001</v>
      </c>
      <c r="J884" s="17">
        <v>2</v>
      </c>
      <c r="K884" s="18"/>
      <c r="L884" s="18"/>
      <c r="M884" s="20"/>
      <c r="N884" s="37">
        <f t="shared" si="38"/>
        <v>0</v>
      </c>
      <c r="O884" s="21">
        <v>1.667</v>
      </c>
      <c r="P884" s="22">
        <v>3.8E-3</v>
      </c>
    </row>
    <row r="885" spans="1:16" s="1" customFormat="1" ht="119.1" customHeight="1" outlineLevel="4" x14ac:dyDescent="0.2">
      <c r="A885" s="11">
        <v>216984</v>
      </c>
      <c r="B885" s="12" t="s">
        <v>1707</v>
      </c>
      <c r="C885" s="12" t="s">
        <v>50</v>
      </c>
      <c r="D885" s="13"/>
      <c r="E885" s="14" t="s">
        <v>1708</v>
      </c>
      <c r="F885" s="15" t="s">
        <v>24</v>
      </c>
      <c r="G885" s="16"/>
      <c r="H885" s="36">
        <v>705.9</v>
      </c>
      <c r="I885" s="36">
        <f>ROUND(H885-(H885*I2/100),2)</f>
        <v>705.9</v>
      </c>
      <c r="J885" s="17">
        <v>17</v>
      </c>
      <c r="K885" s="18"/>
      <c r="L885" s="18"/>
      <c r="M885" s="20"/>
      <c r="N885" s="37">
        <f t="shared" si="38"/>
        <v>0</v>
      </c>
      <c r="O885" s="21">
        <v>1.1000000000000001</v>
      </c>
      <c r="P885" s="22">
        <v>4.5599999999999998E-3</v>
      </c>
    </row>
    <row r="886" spans="1:16" s="1" customFormat="1" ht="119.1" customHeight="1" outlineLevel="4" x14ac:dyDescent="0.2">
      <c r="A886" s="11">
        <v>151387</v>
      </c>
      <c r="B886" s="12" t="s">
        <v>1709</v>
      </c>
      <c r="C886" s="12" t="s">
        <v>22</v>
      </c>
      <c r="D886" s="13"/>
      <c r="E886" s="14" t="s">
        <v>1710</v>
      </c>
      <c r="F886" s="15" t="s">
        <v>24</v>
      </c>
      <c r="G886" s="16"/>
      <c r="H886" s="36">
        <v>903.5</v>
      </c>
      <c r="I886" s="36">
        <f>ROUND(H886-(H886*I2/100),2)</f>
        <v>903.5</v>
      </c>
      <c r="J886" s="17">
        <v>16</v>
      </c>
      <c r="K886" s="18"/>
      <c r="L886" s="18"/>
      <c r="M886" s="20"/>
      <c r="N886" s="37">
        <f t="shared" si="38"/>
        <v>0</v>
      </c>
      <c r="O886" s="21">
        <v>1.538</v>
      </c>
      <c r="P886" s="22">
        <v>1.32E-3</v>
      </c>
    </row>
    <row r="887" spans="1:16" s="1" customFormat="1" ht="119.1" customHeight="1" outlineLevel="4" x14ac:dyDescent="0.2">
      <c r="A887" s="11">
        <v>187934</v>
      </c>
      <c r="B887" s="12" t="s">
        <v>1711</v>
      </c>
      <c r="C887" s="12" t="s">
        <v>22</v>
      </c>
      <c r="D887" s="23"/>
      <c r="E887" s="24" t="s">
        <v>1712</v>
      </c>
      <c r="F887" s="25" t="s">
        <v>24</v>
      </c>
      <c r="G887" s="26" t="s">
        <v>39</v>
      </c>
      <c r="H887" s="36">
        <v>1033.2</v>
      </c>
      <c r="I887" s="36">
        <f>H887</f>
        <v>1033.2</v>
      </c>
      <c r="J887" s="17">
        <v>37</v>
      </c>
      <c r="K887" s="18"/>
      <c r="L887" s="18"/>
      <c r="M887" s="20"/>
      <c r="N887" s="37">
        <f t="shared" si="38"/>
        <v>0</v>
      </c>
      <c r="O887" s="21">
        <v>2.25</v>
      </c>
      <c r="P887" s="22">
        <v>1.7849999999999999E-3</v>
      </c>
    </row>
    <row r="888" spans="1:16" s="1" customFormat="1" ht="119.1" customHeight="1" outlineLevel="4" x14ac:dyDescent="0.2">
      <c r="A888" s="11">
        <v>196625</v>
      </c>
      <c r="B888" s="12" t="s">
        <v>1713</v>
      </c>
      <c r="C888" s="12" t="s">
        <v>50</v>
      </c>
      <c r="D888" s="13"/>
      <c r="E888" s="14" t="s">
        <v>1714</v>
      </c>
      <c r="F888" s="15" t="s">
        <v>24</v>
      </c>
      <c r="G888" s="16"/>
      <c r="H888" s="36">
        <v>96.4</v>
      </c>
      <c r="I888" s="36">
        <f>ROUND(H888-(H888*I2/100),2)</f>
        <v>96.4</v>
      </c>
      <c r="J888" s="17">
        <v>101</v>
      </c>
      <c r="K888" s="18"/>
      <c r="L888" s="18"/>
      <c r="M888" s="20"/>
      <c r="N888" s="37">
        <f t="shared" si="38"/>
        <v>0</v>
      </c>
      <c r="O888" s="21">
        <v>7.5999999999999998E-2</v>
      </c>
      <c r="P888" s="22">
        <v>5.6700000000000001E-4</v>
      </c>
    </row>
    <row r="889" spans="1:16" s="1" customFormat="1" ht="119.1" customHeight="1" outlineLevel="4" x14ac:dyDescent="0.2">
      <c r="A889" s="11">
        <v>196628</v>
      </c>
      <c r="B889" s="12" t="s">
        <v>1715</v>
      </c>
      <c r="C889" s="12" t="s">
        <v>50</v>
      </c>
      <c r="D889" s="13"/>
      <c r="E889" s="14" t="s">
        <v>1716</v>
      </c>
      <c r="F889" s="15" t="s">
        <v>24</v>
      </c>
      <c r="G889" s="16"/>
      <c r="H889" s="36">
        <v>163.1</v>
      </c>
      <c r="I889" s="36">
        <f>ROUND(H889-(H889*I2/100),2)</f>
        <v>163.1</v>
      </c>
      <c r="J889" s="17">
        <v>481</v>
      </c>
      <c r="K889" s="18"/>
      <c r="L889" s="18"/>
      <c r="M889" s="20"/>
      <c r="N889" s="37">
        <f t="shared" si="38"/>
        <v>0</v>
      </c>
      <c r="O889" s="21">
        <v>0.19</v>
      </c>
      <c r="P889" s="22">
        <v>2.7880000000000001E-3</v>
      </c>
    </row>
    <row r="890" spans="1:16" s="1" customFormat="1" ht="119.1" customHeight="1" outlineLevel="4" x14ac:dyDescent="0.2">
      <c r="A890" s="11">
        <v>196622</v>
      </c>
      <c r="B890" s="12" t="s">
        <v>1717</v>
      </c>
      <c r="C890" s="12" t="s">
        <v>50</v>
      </c>
      <c r="D890" s="13"/>
      <c r="E890" s="14" t="s">
        <v>1718</v>
      </c>
      <c r="F890" s="15" t="s">
        <v>24</v>
      </c>
      <c r="G890" s="16"/>
      <c r="H890" s="36">
        <v>289.3</v>
      </c>
      <c r="I890" s="36">
        <f>ROUND(H890-(H890*I2/100),2)</f>
        <v>289.3</v>
      </c>
      <c r="J890" s="17">
        <v>217</v>
      </c>
      <c r="K890" s="18"/>
      <c r="L890" s="18"/>
      <c r="M890" s="20"/>
      <c r="N890" s="37">
        <f t="shared" si="38"/>
        <v>0</v>
      </c>
      <c r="O890" s="21">
        <v>0.60399999999999998</v>
      </c>
      <c r="P890" s="22">
        <v>2.7599999999999999E-3</v>
      </c>
    </row>
    <row r="891" spans="1:16" s="1" customFormat="1" ht="119.1" customHeight="1" outlineLevel="4" x14ac:dyDescent="0.2">
      <c r="A891" s="11">
        <v>196623</v>
      </c>
      <c r="B891" s="12" t="s">
        <v>1719</v>
      </c>
      <c r="C891" s="12" t="s">
        <v>50</v>
      </c>
      <c r="D891" s="13"/>
      <c r="E891" s="14" t="s">
        <v>1720</v>
      </c>
      <c r="F891" s="15" t="s">
        <v>24</v>
      </c>
      <c r="G891" s="16"/>
      <c r="H891" s="36">
        <v>372.6</v>
      </c>
      <c r="I891" s="36">
        <f>ROUND(H891-(H891*I2/100),2)</f>
        <v>372.6</v>
      </c>
      <c r="J891" s="17">
        <v>68</v>
      </c>
      <c r="K891" s="18"/>
      <c r="L891" s="18"/>
      <c r="M891" s="20"/>
      <c r="N891" s="37">
        <f t="shared" si="38"/>
        <v>0</v>
      </c>
      <c r="O891" s="21">
        <v>0.64600000000000002</v>
      </c>
      <c r="P891" s="22">
        <v>3.6600000000000001E-3</v>
      </c>
    </row>
    <row r="892" spans="1:16" s="1" customFormat="1" ht="119.1" customHeight="1" outlineLevel="4" x14ac:dyDescent="0.2">
      <c r="A892" s="11">
        <v>196624</v>
      </c>
      <c r="B892" s="12" t="s">
        <v>1721</v>
      </c>
      <c r="C892" s="12" t="s">
        <v>50</v>
      </c>
      <c r="D892" s="13"/>
      <c r="E892" s="14" t="s">
        <v>1722</v>
      </c>
      <c r="F892" s="15" t="s">
        <v>24</v>
      </c>
      <c r="G892" s="16"/>
      <c r="H892" s="36">
        <v>426.6</v>
      </c>
      <c r="I892" s="36">
        <f>ROUND(H892-(H892*I2/100),2)</f>
        <v>426.6</v>
      </c>
      <c r="J892" s="17">
        <v>78</v>
      </c>
      <c r="K892" s="18"/>
      <c r="L892" s="18"/>
      <c r="M892" s="20"/>
      <c r="N892" s="37">
        <f t="shared" si="38"/>
        <v>0</v>
      </c>
      <c r="O892" s="21">
        <v>0.75</v>
      </c>
      <c r="P892" s="22">
        <v>5.4000000000000003E-3</v>
      </c>
    </row>
    <row r="893" spans="1:16" s="1" customFormat="1" ht="119.1" customHeight="1" outlineLevel="4" x14ac:dyDescent="0.2">
      <c r="A893" s="11">
        <v>165312</v>
      </c>
      <c r="B893" s="12" t="s">
        <v>1723</v>
      </c>
      <c r="C893" s="12" t="s">
        <v>22</v>
      </c>
      <c r="D893" s="28"/>
      <c r="E893" s="29" t="s">
        <v>1724</v>
      </c>
      <c r="F893" s="30" t="s">
        <v>24</v>
      </c>
      <c r="G893" s="31" t="s">
        <v>209</v>
      </c>
      <c r="H893" s="36">
        <v>352</v>
      </c>
      <c r="I893" s="36">
        <f>ROUND(H893-(H893*I2/100),2)</f>
        <v>352</v>
      </c>
      <c r="J893" s="17">
        <v>76</v>
      </c>
      <c r="K893" s="18"/>
      <c r="L893" s="18"/>
      <c r="M893" s="20"/>
      <c r="N893" s="37">
        <f t="shared" si="38"/>
        <v>0</v>
      </c>
      <c r="O893" s="21">
        <v>0.35</v>
      </c>
      <c r="P893" s="22">
        <v>1.575E-3</v>
      </c>
    </row>
    <row r="894" spans="1:16" s="1" customFormat="1" ht="119.1" customHeight="1" outlineLevel="4" x14ac:dyDescent="0.2">
      <c r="A894" s="11">
        <v>165313</v>
      </c>
      <c r="B894" s="12" t="s">
        <v>1725</v>
      </c>
      <c r="C894" s="12" t="s">
        <v>22</v>
      </c>
      <c r="D894" s="13"/>
      <c r="E894" s="14" t="s">
        <v>1726</v>
      </c>
      <c r="F894" s="15" t="s">
        <v>24</v>
      </c>
      <c r="G894" s="16"/>
      <c r="H894" s="36">
        <v>425</v>
      </c>
      <c r="I894" s="36">
        <f>ROUND(H894-(H894*I2/100),2)</f>
        <v>425</v>
      </c>
      <c r="J894" s="17">
        <v>255</v>
      </c>
      <c r="K894" s="18"/>
      <c r="L894" s="18"/>
      <c r="M894" s="20"/>
      <c r="N894" s="37">
        <f t="shared" si="38"/>
        <v>0</v>
      </c>
      <c r="O894" s="21">
        <v>0.46700000000000003</v>
      </c>
      <c r="P894" s="22">
        <v>2.7599999999999999E-3</v>
      </c>
    </row>
    <row r="895" spans="1:16" s="1" customFormat="1" ht="119.1" customHeight="1" outlineLevel="4" x14ac:dyDescent="0.2">
      <c r="A895" s="11">
        <v>165314</v>
      </c>
      <c r="B895" s="12" t="s">
        <v>1727</v>
      </c>
      <c r="C895" s="12" t="s">
        <v>22</v>
      </c>
      <c r="D895" s="13"/>
      <c r="E895" s="14" t="s">
        <v>1728</v>
      </c>
      <c r="F895" s="15" t="s">
        <v>24</v>
      </c>
      <c r="G895" s="16"/>
      <c r="H895" s="36">
        <v>500.1</v>
      </c>
      <c r="I895" s="36">
        <f>ROUND(H895-(H895*I2/100),2)</f>
        <v>500.1</v>
      </c>
      <c r="J895" s="17">
        <v>178</v>
      </c>
      <c r="K895" s="18"/>
      <c r="L895" s="18"/>
      <c r="M895" s="20"/>
      <c r="N895" s="37">
        <f t="shared" si="38"/>
        <v>0</v>
      </c>
      <c r="O895" s="21">
        <v>0.51700000000000002</v>
      </c>
      <c r="P895" s="22">
        <v>3.6600000000000001E-3</v>
      </c>
    </row>
    <row r="896" spans="1:16" s="1" customFormat="1" ht="119.1" customHeight="1" outlineLevel="4" x14ac:dyDescent="0.2">
      <c r="A896" s="11">
        <v>181148</v>
      </c>
      <c r="B896" s="12" t="s">
        <v>1729</v>
      </c>
      <c r="C896" s="12" t="s">
        <v>22</v>
      </c>
      <c r="D896" s="13"/>
      <c r="E896" s="14" t="s">
        <v>1730</v>
      </c>
      <c r="F896" s="15" t="s">
        <v>24</v>
      </c>
      <c r="G896" s="16"/>
      <c r="H896" s="36">
        <v>1167.3</v>
      </c>
      <c r="I896" s="36">
        <f>ROUND(H896-(H896*I2/100),2)</f>
        <v>1167.3</v>
      </c>
      <c r="J896" s="17">
        <v>3</v>
      </c>
      <c r="K896" s="18"/>
      <c r="L896" s="18"/>
      <c r="M896" s="20"/>
      <c r="N896" s="37">
        <f t="shared" si="38"/>
        <v>0</v>
      </c>
      <c r="O896" s="21">
        <v>0.83299999999999996</v>
      </c>
      <c r="P896" s="22">
        <v>5.0819999999999997E-3</v>
      </c>
    </row>
    <row r="897" spans="1:16" s="1" customFormat="1" ht="119.1" customHeight="1" outlineLevel="4" x14ac:dyDescent="0.2">
      <c r="A897" s="11">
        <v>181149</v>
      </c>
      <c r="B897" s="12" t="s">
        <v>1731</v>
      </c>
      <c r="C897" s="12" t="s">
        <v>22</v>
      </c>
      <c r="D897" s="13"/>
      <c r="E897" s="14" t="s">
        <v>1732</v>
      </c>
      <c r="F897" s="15" t="s">
        <v>24</v>
      </c>
      <c r="G897" s="16"/>
      <c r="H897" s="36">
        <v>1271.3</v>
      </c>
      <c r="I897" s="36">
        <f>ROUND(H897-(H897*I2/100),2)</f>
        <v>1271.3</v>
      </c>
      <c r="J897" s="17">
        <v>10</v>
      </c>
      <c r="K897" s="18"/>
      <c r="L897" s="18"/>
      <c r="M897" s="20"/>
      <c r="N897" s="37">
        <f t="shared" si="38"/>
        <v>0</v>
      </c>
      <c r="O897" s="21">
        <v>0.93799999999999994</v>
      </c>
      <c r="P897" s="22">
        <v>6.1599999999999997E-3</v>
      </c>
    </row>
    <row r="898" spans="1:16" s="1" customFormat="1" ht="119.1" customHeight="1" outlineLevel="4" x14ac:dyDescent="0.2">
      <c r="A898" s="11">
        <v>196284</v>
      </c>
      <c r="B898" s="12" t="s">
        <v>1733</v>
      </c>
      <c r="C898" s="12" t="s">
        <v>50</v>
      </c>
      <c r="D898" s="13"/>
      <c r="E898" s="14" t="s">
        <v>1734</v>
      </c>
      <c r="F898" s="15" t="s">
        <v>24</v>
      </c>
      <c r="G898" s="16"/>
      <c r="H898" s="36">
        <v>20.6</v>
      </c>
      <c r="I898" s="36">
        <f>ROUND(H898-(H898*I2/100),2)</f>
        <v>20.6</v>
      </c>
      <c r="J898" s="27">
        <v>1754</v>
      </c>
      <c r="K898" s="18"/>
      <c r="L898" s="18"/>
      <c r="M898" s="20"/>
      <c r="N898" s="37">
        <f t="shared" si="38"/>
        <v>0</v>
      </c>
      <c r="O898" s="21">
        <v>1.9E-2</v>
      </c>
      <c r="P898" s="22">
        <v>2.3800000000000001E-4</v>
      </c>
    </row>
    <row r="899" spans="1:16" s="1" customFormat="1" ht="119.1" customHeight="1" outlineLevel="4" x14ac:dyDescent="0.2">
      <c r="A899" s="11">
        <v>196285</v>
      </c>
      <c r="B899" s="12" t="s">
        <v>1735</v>
      </c>
      <c r="C899" s="12" t="s">
        <v>50</v>
      </c>
      <c r="D899" s="13"/>
      <c r="E899" s="14" t="s">
        <v>1736</v>
      </c>
      <c r="F899" s="15" t="s">
        <v>24</v>
      </c>
      <c r="G899" s="16"/>
      <c r="H899" s="36">
        <v>35.1</v>
      </c>
      <c r="I899" s="36">
        <f>ROUND(H899-(H899*I2/100),2)</f>
        <v>35.1</v>
      </c>
      <c r="J899" s="27">
        <v>1432</v>
      </c>
      <c r="K899" s="18"/>
      <c r="L899" s="18"/>
      <c r="M899" s="20"/>
      <c r="N899" s="37">
        <f t="shared" si="38"/>
        <v>0</v>
      </c>
      <c r="O899" s="21">
        <v>4.8000000000000001E-2</v>
      </c>
      <c r="P899" s="22">
        <v>2.8499999999999999E-4</v>
      </c>
    </row>
    <row r="900" spans="1:16" s="1" customFormat="1" ht="119.1" customHeight="1" outlineLevel="4" x14ac:dyDescent="0.2">
      <c r="A900" s="11">
        <v>165311</v>
      </c>
      <c r="B900" s="12" t="s">
        <v>1737</v>
      </c>
      <c r="C900" s="12" t="s">
        <v>22</v>
      </c>
      <c r="D900" s="13"/>
      <c r="E900" s="14" t="s">
        <v>1738</v>
      </c>
      <c r="F900" s="15" t="s">
        <v>24</v>
      </c>
      <c r="G900" s="16"/>
      <c r="H900" s="36">
        <v>61.6</v>
      </c>
      <c r="I900" s="36">
        <f>ROUND(H900-(H900*I2/100),2)</f>
        <v>61.6</v>
      </c>
      <c r="J900" s="17">
        <v>257</v>
      </c>
      <c r="K900" s="18"/>
      <c r="L900" s="18"/>
      <c r="M900" s="20"/>
      <c r="N900" s="37">
        <f t="shared" si="38"/>
        <v>0</v>
      </c>
      <c r="O900" s="21">
        <v>4.8000000000000001E-2</v>
      </c>
      <c r="P900" s="22">
        <v>2.8499999999999999E-4</v>
      </c>
    </row>
    <row r="901" spans="1:16" s="1" customFormat="1" ht="119.1" customHeight="1" outlineLevel="4" x14ac:dyDescent="0.2">
      <c r="A901" s="11">
        <v>170553</v>
      </c>
      <c r="B901" s="12" t="s">
        <v>1739</v>
      </c>
      <c r="C901" s="12" t="s">
        <v>22</v>
      </c>
      <c r="D901" s="13"/>
      <c r="E901" s="14" t="s">
        <v>1740</v>
      </c>
      <c r="F901" s="15" t="s">
        <v>24</v>
      </c>
      <c r="G901" s="16"/>
      <c r="H901" s="36">
        <v>93.1</v>
      </c>
      <c r="I901" s="36">
        <f>ROUND(H901-(H901*I2/100),2)</f>
        <v>93.1</v>
      </c>
      <c r="J901" s="17">
        <v>263</v>
      </c>
      <c r="K901" s="18"/>
      <c r="L901" s="18"/>
      <c r="M901" s="20"/>
      <c r="N901" s="37">
        <f t="shared" si="38"/>
        <v>0</v>
      </c>
      <c r="O901" s="21">
        <v>8.6999999999999994E-2</v>
      </c>
      <c r="P901" s="22">
        <v>5.4000000000000001E-4</v>
      </c>
    </row>
    <row r="902" spans="1:16" s="1" customFormat="1" ht="119.1" customHeight="1" outlineLevel="4" x14ac:dyDescent="0.2">
      <c r="A902" s="11">
        <v>196286</v>
      </c>
      <c r="B902" s="12" t="s">
        <v>1741</v>
      </c>
      <c r="C902" s="12" t="s">
        <v>50</v>
      </c>
      <c r="D902" s="13"/>
      <c r="E902" s="14" t="s">
        <v>1742</v>
      </c>
      <c r="F902" s="15" t="s">
        <v>24</v>
      </c>
      <c r="G902" s="16"/>
      <c r="H902" s="36">
        <v>69.2</v>
      </c>
      <c r="I902" s="36">
        <f>ROUND(H902-(H902*I2/100),2)</f>
        <v>69.2</v>
      </c>
      <c r="J902" s="17">
        <v>868</v>
      </c>
      <c r="K902" s="18"/>
      <c r="L902" s="18"/>
      <c r="M902" s="20"/>
      <c r="N902" s="37">
        <f t="shared" si="38"/>
        <v>0</v>
      </c>
      <c r="O902" s="21">
        <v>0.125</v>
      </c>
      <c r="P902" s="22">
        <v>5.4000000000000001E-4</v>
      </c>
    </row>
    <row r="903" spans="1:16" s="1" customFormat="1" ht="119.1" customHeight="1" outlineLevel="4" x14ac:dyDescent="0.2">
      <c r="A903" s="11">
        <v>196287</v>
      </c>
      <c r="B903" s="12" t="s">
        <v>1743</v>
      </c>
      <c r="C903" s="12" t="s">
        <v>50</v>
      </c>
      <c r="D903" s="13"/>
      <c r="E903" s="14" t="s">
        <v>1744</v>
      </c>
      <c r="F903" s="15" t="s">
        <v>24</v>
      </c>
      <c r="G903" s="16"/>
      <c r="H903" s="36">
        <v>93.4</v>
      </c>
      <c r="I903" s="36">
        <f>ROUND(H903-(H903*I2/100),2)</f>
        <v>93.4</v>
      </c>
      <c r="J903" s="17">
        <v>570</v>
      </c>
      <c r="K903" s="18"/>
      <c r="L903" s="18"/>
      <c r="M903" s="20"/>
      <c r="N903" s="37">
        <f t="shared" si="38"/>
        <v>0</v>
      </c>
      <c r="O903" s="21">
        <v>0.16800000000000001</v>
      </c>
      <c r="P903" s="22">
        <v>5.4000000000000001E-4</v>
      </c>
    </row>
    <row r="904" spans="1:16" s="1" customFormat="1" ht="119.1" customHeight="1" outlineLevel="4" x14ac:dyDescent="0.2">
      <c r="A904" s="11">
        <v>196629</v>
      </c>
      <c r="B904" s="12" t="s">
        <v>1745</v>
      </c>
      <c r="C904" s="12" t="s">
        <v>50</v>
      </c>
      <c r="D904" s="13"/>
      <c r="E904" s="14" t="s">
        <v>1746</v>
      </c>
      <c r="F904" s="15" t="s">
        <v>24</v>
      </c>
      <c r="G904" s="16"/>
      <c r="H904" s="36">
        <v>827.8</v>
      </c>
      <c r="I904" s="36">
        <f>ROUND(H904-(H904*I2/100),2)</f>
        <v>827.8</v>
      </c>
      <c r="J904" s="17">
        <v>50</v>
      </c>
      <c r="K904" s="18"/>
      <c r="L904" s="18"/>
      <c r="M904" s="20"/>
      <c r="N904" s="37">
        <f t="shared" si="38"/>
        <v>0</v>
      </c>
      <c r="O904" s="21">
        <v>1.1399999999999999</v>
      </c>
      <c r="P904" s="22">
        <v>2.4009999999999999E-3</v>
      </c>
    </row>
    <row r="905" spans="1:16" s="1" customFormat="1" ht="119.1" customHeight="1" outlineLevel="4" x14ac:dyDescent="0.2">
      <c r="A905" s="11">
        <v>208248</v>
      </c>
      <c r="B905" s="12" t="s">
        <v>1747</v>
      </c>
      <c r="C905" s="12" t="s">
        <v>22</v>
      </c>
      <c r="D905" s="13"/>
      <c r="E905" s="14" t="s">
        <v>1748</v>
      </c>
      <c r="F905" s="15" t="s">
        <v>24</v>
      </c>
      <c r="G905" s="16"/>
      <c r="H905" s="36">
        <v>1792.1</v>
      </c>
      <c r="I905" s="36">
        <f>ROUND(H905-(H905*I2/100),2)</f>
        <v>1792.1</v>
      </c>
      <c r="J905" s="17">
        <v>3</v>
      </c>
      <c r="K905" s="18"/>
      <c r="L905" s="18"/>
      <c r="M905" s="20"/>
      <c r="N905" s="37">
        <f t="shared" si="38"/>
        <v>0</v>
      </c>
      <c r="O905" s="21">
        <v>0.5</v>
      </c>
      <c r="P905" s="22">
        <v>1E-3</v>
      </c>
    </row>
    <row r="906" spans="1:16" s="8" customFormat="1" ht="15.95" customHeight="1" outlineLevel="3" x14ac:dyDescent="0.25">
      <c r="A906" s="9"/>
      <c r="B906" s="10"/>
      <c r="C906" s="10"/>
      <c r="D906" s="10" t="s">
        <v>1749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 spans="1:16" s="1" customFormat="1" ht="119.1" customHeight="1" outlineLevel="4" x14ac:dyDescent="0.2">
      <c r="A907" s="11">
        <v>217032</v>
      </c>
      <c r="B907" s="12" t="s">
        <v>1750</v>
      </c>
      <c r="C907" s="12" t="s">
        <v>50</v>
      </c>
      <c r="D907" s="13"/>
      <c r="E907" s="14" t="s">
        <v>1751</v>
      </c>
      <c r="F907" s="15" t="s">
        <v>24</v>
      </c>
      <c r="G907" s="16"/>
      <c r="H907" s="36">
        <v>814.2</v>
      </c>
      <c r="I907" s="36">
        <f>ROUND(H907-(H907*I2/100),2)</f>
        <v>814.2</v>
      </c>
      <c r="J907" s="17">
        <v>17</v>
      </c>
      <c r="K907" s="18"/>
      <c r="L907" s="18"/>
      <c r="M907" s="20"/>
      <c r="N907" s="37">
        <f>I907*M907</f>
        <v>0</v>
      </c>
      <c r="O907" s="21">
        <v>0.4</v>
      </c>
      <c r="P907" s="22">
        <v>1.5120000000000001E-3</v>
      </c>
    </row>
    <row r="908" spans="1:16" s="1" customFormat="1" ht="119.1" customHeight="1" outlineLevel="4" x14ac:dyDescent="0.2">
      <c r="A908" s="11">
        <v>216998</v>
      </c>
      <c r="B908" s="12" t="s">
        <v>1752</v>
      </c>
      <c r="C908" s="12" t="s">
        <v>50</v>
      </c>
      <c r="D908" s="13"/>
      <c r="E908" s="14" t="s">
        <v>1753</v>
      </c>
      <c r="F908" s="15" t="s">
        <v>24</v>
      </c>
      <c r="G908" s="16"/>
      <c r="H908" s="36">
        <v>1206.4000000000001</v>
      </c>
      <c r="I908" s="36">
        <f>ROUND(H908-(H908*I2/100),2)</f>
        <v>1206.4000000000001</v>
      </c>
      <c r="J908" s="17">
        <v>19</v>
      </c>
      <c r="K908" s="18"/>
      <c r="L908" s="18"/>
      <c r="M908" s="20"/>
      <c r="N908" s="37">
        <f>I908*M908</f>
        <v>0</v>
      </c>
      <c r="O908" s="21">
        <v>1.5</v>
      </c>
      <c r="P908" s="22">
        <v>2.382E-3</v>
      </c>
    </row>
    <row r="909" spans="1:16" s="1" customFormat="1" ht="119.1" customHeight="1" outlineLevel="4" x14ac:dyDescent="0.2">
      <c r="A909" s="11">
        <v>170339</v>
      </c>
      <c r="B909" s="12" t="s">
        <v>1754</v>
      </c>
      <c r="C909" s="12" t="s">
        <v>22</v>
      </c>
      <c r="D909" s="13"/>
      <c r="E909" s="14" t="s">
        <v>1755</v>
      </c>
      <c r="F909" s="15" t="s">
        <v>24</v>
      </c>
      <c r="G909" s="16"/>
      <c r="H909" s="36">
        <v>11427.9</v>
      </c>
      <c r="I909" s="36">
        <f>ROUND(H909-(H909*I2/100),2)</f>
        <v>11427.9</v>
      </c>
      <c r="J909" s="17">
        <v>3</v>
      </c>
      <c r="K909" s="18"/>
      <c r="L909" s="18"/>
      <c r="M909" s="20"/>
      <c r="N909" s="37">
        <f>I909*M909</f>
        <v>0</v>
      </c>
      <c r="O909" s="21">
        <v>19.5</v>
      </c>
      <c r="P909" s="22">
        <v>2.6754E-2</v>
      </c>
    </row>
    <row r="910" spans="1:16" s="1" customFormat="1" ht="119.1" customHeight="1" outlineLevel="4" x14ac:dyDescent="0.2">
      <c r="A910" s="11">
        <v>216997</v>
      </c>
      <c r="B910" s="12" t="s">
        <v>1756</v>
      </c>
      <c r="C910" s="12" t="s">
        <v>50</v>
      </c>
      <c r="D910" s="13"/>
      <c r="E910" s="14" t="s">
        <v>1757</v>
      </c>
      <c r="F910" s="15" t="s">
        <v>24</v>
      </c>
      <c r="G910" s="16"/>
      <c r="H910" s="36">
        <v>8734.7999999999993</v>
      </c>
      <c r="I910" s="36">
        <f>ROUND(H910-(H910*I2/100),2)</f>
        <v>8734.7999999999993</v>
      </c>
      <c r="J910" s="17">
        <v>1</v>
      </c>
      <c r="K910" s="18"/>
      <c r="L910" s="18"/>
      <c r="M910" s="20"/>
      <c r="N910" s="37">
        <f>I910*M910</f>
        <v>0</v>
      </c>
      <c r="O910" s="21">
        <v>18</v>
      </c>
      <c r="P910" s="22">
        <v>3.0623999999999998E-2</v>
      </c>
    </row>
    <row r="911" spans="1:16" s="8" customFormat="1" ht="15.95" customHeight="1" outlineLevel="3" x14ac:dyDescent="0.25">
      <c r="A911" s="9"/>
      <c r="B911" s="10"/>
      <c r="C911" s="10"/>
      <c r="D911" s="10" t="s">
        <v>1758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 spans="1:16" s="1" customFormat="1" ht="119.1" customHeight="1" outlineLevel="4" x14ac:dyDescent="0.2">
      <c r="A912" s="11">
        <v>212245</v>
      </c>
      <c r="B912" s="12" t="s">
        <v>1759</v>
      </c>
      <c r="C912" s="12" t="s">
        <v>50</v>
      </c>
      <c r="D912" s="13"/>
      <c r="E912" s="14" t="s">
        <v>1760</v>
      </c>
      <c r="F912" s="15" t="s">
        <v>24</v>
      </c>
      <c r="G912" s="16"/>
      <c r="H912" s="36">
        <v>1057.5</v>
      </c>
      <c r="I912" s="36">
        <f>ROUND(H912-(H912*I2/100),2)</f>
        <v>1057.5</v>
      </c>
      <c r="J912" s="17">
        <v>83</v>
      </c>
      <c r="K912" s="18"/>
      <c r="L912" s="18"/>
      <c r="M912" s="20"/>
      <c r="N912" s="37">
        <f t="shared" ref="N912:N920" si="39">I912*M912</f>
        <v>0</v>
      </c>
      <c r="O912" s="21">
        <v>0.3</v>
      </c>
      <c r="P912" s="22">
        <v>2E-3</v>
      </c>
    </row>
    <row r="913" spans="1:16" s="1" customFormat="1" ht="119.1" customHeight="1" outlineLevel="4" x14ac:dyDescent="0.2">
      <c r="A913" s="11">
        <v>205468</v>
      </c>
      <c r="B913" s="12" t="s">
        <v>1761</v>
      </c>
      <c r="C913" s="12" t="s">
        <v>22</v>
      </c>
      <c r="D913" s="13"/>
      <c r="E913" s="14" t="s">
        <v>1762</v>
      </c>
      <c r="F913" s="15" t="s">
        <v>24</v>
      </c>
      <c r="G913" s="16"/>
      <c r="H913" s="36">
        <v>628.79999999999995</v>
      </c>
      <c r="I913" s="36">
        <f>ROUND(H913-(H913*I2/100),2)</f>
        <v>628.79999999999995</v>
      </c>
      <c r="J913" s="17">
        <v>440</v>
      </c>
      <c r="K913" s="18"/>
      <c r="L913" s="18"/>
      <c r="M913" s="20"/>
      <c r="N913" s="37">
        <f t="shared" si="39"/>
        <v>0</v>
      </c>
      <c r="O913" s="21">
        <v>1</v>
      </c>
      <c r="P913" s="22">
        <v>1.755E-3</v>
      </c>
    </row>
    <row r="914" spans="1:16" s="1" customFormat="1" ht="119.1" customHeight="1" outlineLevel="4" x14ac:dyDescent="0.2">
      <c r="A914" s="11">
        <v>196275</v>
      </c>
      <c r="B914" s="12" t="s">
        <v>1763</v>
      </c>
      <c r="C914" s="12" t="s">
        <v>50</v>
      </c>
      <c r="D914" s="13"/>
      <c r="E914" s="14" t="s">
        <v>1764</v>
      </c>
      <c r="F914" s="15" t="s">
        <v>24</v>
      </c>
      <c r="G914" s="16"/>
      <c r="H914" s="36">
        <v>488.8</v>
      </c>
      <c r="I914" s="36">
        <f>ROUND(H914-(H914*I2/100),2)</f>
        <v>488.8</v>
      </c>
      <c r="J914" s="17">
        <v>552</v>
      </c>
      <c r="K914" s="18"/>
      <c r="L914" s="18"/>
      <c r="M914" s="20"/>
      <c r="N914" s="37">
        <f t="shared" si="39"/>
        <v>0</v>
      </c>
      <c r="O914" s="21">
        <v>0.99199999999999999</v>
      </c>
      <c r="P914" s="22">
        <v>1.415E-3</v>
      </c>
    </row>
    <row r="915" spans="1:16" s="1" customFormat="1" ht="119.1" customHeight="1" outlineLevel="4" x14ac:dyDescent="0.2">
      <c r="A915" s="11">
        <v>202239</v>
      </c>
      <c r="B915" s="12" t="s">
        <v>1765</v>
      </c>
      <c r="C915" s="12" t="s">
        <v>22</v>
      </c>
      <c r="D915" s="13"/>
      <c r="E915" s="14" t="s">
        <v>1766</v>
      </c>
      <c r="F915" s="15" t="s">
        <v>24</v>
      </c>
      <c r="G915" s="16"/>
      <c r="H915" s="36">
        <v>715.4</v>
      </c>
      <c r="I915" s="36">
        <f>ROUND(H915-(H915*I2/100),2)</f>
        <v>715.4</v>
      </c>
      <c r="J915" s="17">
        <v>465</v>
      </c>
      <c r="K915" s="18"/>
      <c r="L915" s="18"/>
      <c r="M915" s="20"/>
      <c r="N915" s="37">
        <f t="shared" si="39"/>
        <v>0</v>
      </c>
      <c r="O915" s="21">
        <v>1.167</v>
      </c>
      <c r="P915" s="22">
        <v>2E-3</v>
      </c>
    </row>
    <row r="916" spans="1:16" s="1" customFormat="1" ht="119.1" customHeight="1" outlineLevel="4" x14ac:dyDescent="0.2">
      <c r="A916" s="11">
        <v>197331</v>
      </c>
      <c r="B916" s="12" t="s">
        <v>1767</v>
      </c>
      <c r="C916" s="12" t="s">
        <v>50</v>
      </c>
      <c r="D916" s="13"/>
      <c r="E916" s="14" t="s">
        <v>1768</v>
      </c>
      <c r="F916" s="15" t="s">
        <v>24</v>
      </c>
      <c r="G916" s="16"/>
      <c r="H916" s="36">
        <v>545</v>
      </c>
      <c r="I916" s="36">
        <f>ROUND(H916-(H916*I2/100),2)</f>
        <v>545</v>
      </c>
      <c r="J916" s="17">
        <v>646</v>
      </c>
      <c r="K916" s="18"/>
      <c r="L916" s="18"/>
      <c r="M916" s="20"/>
      <c r="N916" s="37">
        <f t="shared" si="39"/>
        <v>0</v>
      </c>
      <c r="O916" s="21">
        <v>1.167</v>
      </c>
      <c r="P916" s="22">
        <v>1.98E-3</v>
      </c>
    </row>
    <row r="917" spans="1:16" s="1" customFormat="1" ht="119.1" customHeight="1" outlineLevel="4" x14ac:dyDescent="0.2">
      <c r="A917" s="11">
        <v>205467</v>
      </c>
      <c r="B917" s="12" t="s">
        <v>1769</v>
      </c>
      <c r="C917" s="12" t="s">
        <v>22</v>
      </c>
      <c r="D917" s="28"/>
      <c r="E917" s="29" t="s">
        <v>1770</v>
      </c>
      <c r="F917" s="30" t="s">
        <v>24</v>
      </c>
      <c r="G917" s="31" t="s">
        <v>209</v>
      </c>
      <c r="H917" s="36">
        <v>825.6</v>
      </c>
      <c r="I917" s="36">
        <f>ROUND(H917-(H917*I2/100),2)</f>
        <v>825.6</v>
      </c>
      <c r="J917" s="17">
        <v>164</v>
      </c>
      <c r="K917" s="18"/>
      <c r="L917" s="18"/>
      <c r="M917" s="20"/>
      <c r="N917" s="37">
        <f t="shared" si="39"/>
        <v>0</v>
      </c>
      <c r="O917" s="21">
        <v>1.45</v>
      </c>
      <c r="P917" s="22">
        <v>2.1930000000000001E-3</v>
      </c>
    </row>
    <row r="918" spans="1:16" s="1" customFormat="1" ht="119.1" customHeight="1" outlineLevel="4" x14ac:dyDescent="0.2">
      <c r="A918" s="11">
        <v>196290</v>
      </c>
      <c r="B918" s="12" t="s">
        <v>1771</v>
      </c>
      <c r="C918" s="12" t="s">
        <v>50</v>
      </c>
      <c r="D918" s="13"/>
      <c r="E918" s="14" t="s">
        <v>1772</v>
      </c>
      <c r="F918" s="15" t="s">
        <v>24</v>
      </c>
      <c r="G918" s="16"/>
      <c r="H918" s="36">
        <v>648.1</v>
      </c>
      <c r="I918" s="36">
        <f>ROUND(H918-(H918*I2/100),2)</f>
        <v>648.1</v>
      </c>
      <c r="J918" s="17">
        <v>213</v>
      </c>
      <c r="K918" s="18"/>
      <c r="L918" s="18"/>
      <c r="M918" s="20"/>
      <c r="N918" s="37">
        <f t="shared" si="39"/>
        <v>0</v>
      </c>
      <c r="O918" s="21">
        <v>1.417</v>
      </c>
      <c r="P918" s="22">
        <v>1.9689999999999998E-3</v>
      </c>
    </row>
    <row r="919" spans="1:16" s="1" customFormat="1" ht="119.1" customHeight="1" outlineLevel="4" x14ac:dyDescent="0.2">
      <c r="A919" s="11">
        <v>197323</v>
      </c>
      <c r="B919" s="12" t="s">
        <v>1773</v>
      </c>
      <c r="C919" s="12" t="s">
        <v>50</v>
      </c>
      <c r="D919" s="13"/>
      <c r="E919" s="14" t="s">
        <v>1774</v>
      </c>
      <c r="F919" s="15" t="s">
        <v>24</v>
      </c>
      <c r="G919" s="16"/>
      <c r="H919" s="36">
        <v>1010.3</v>
      </c>
      <c r="I919" s="36">
        <f>ROUND(H919-(H919*I2/100),2)</f>
        <v>1010.3</v>
      </c>
      <c r="J919" s="17">
        <v>183</v>
      </c>
      <c r="K919" s="18"/>
      <c r="L919" s="18"/>
      <c r="M919" s="20"/>
      <c r="N919" s="37">
        <f t="shared" si="39"/>
        <v>0</v>
      </c>
      <c r="O919" s="21">
        <v>2.0670000000000002</v>
      </c>
      <c r="P919" s="22">
        <v>3.9020000000000001E-3</v>
      </c>
    </row>
    <row r="920" spans="1:16" s="1" customFormat="1" ht="119.1" customHeight="1" outlineLevel="4" x14ac:dyDescent="0.2">
      <c r="A920" s="11">
        <v>202240</v>
      </c>
      <c r="B920" s="12" t="s">
        <v>1775</v>
      </c>
      <c r="C920" s="12" t="s">
        <v>22</v>
      </c>
      <c r="D920" s="13"/>
      <c r="E920" s="14" t="s">
        <v>1776</v>
      </c>
      <c r="F920" s="15" t="s">
        <v>24</v>
      </c>
      <c r="G920" s="16"/>
      <c r="H920" s="36">
        <v>1321.6</v>
      </c>
      <c r="I920" s="36">
        <f>ROUND(H920-(H920*I2/100),2)</f>
        <v>1321.6</v>
      </c>
      <c r="J920" s="17">
        <v>28</v>
      </c>
      <c r="K920" s="18"/>
      <c r="L920" s="18"/>
      <c r="M920" s="20"/>
      <c r="N920" s="37">
        <f t="shared" si="39"/>
        <v>0</v>
      </c>
      <c r="O920" s="21">
        <v>1.35</v>
      </c>
      <c r="P920" s="22">
        <v>0.02</v>
      </c>
    </row>
    <row r="921" spans="1:16" s="8" customFormat="1" ht="15.95" customHeight="1" outlineLevel="2" x14ac:dyDescent="0.25">
      <c r="A921" s="9"/>
      <c r="B921" s="10"/>
      <c r="C921" s="10"/>
      <c r="D921" s="10" t="s">
        <v>1777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 spans="1:16" s="8" customFormat="1" ht="15.95" customHeight="1" outlineLevel="3" x14ac:dyDescent="0.25">
      <c r="A922" s="9"/>
      <c r="B922" s="10"/>
      <c r="C922" s="10"/>
      <c r="D922" s="10" t="s">
        <v>1778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 spans="1:16" s="1" customFormat="1" ht="119.1" customHeight="1" outlineLevel="4" x14ac:dyDescent="0.2">
      <c r="A923" s="11">
        <v>217000</v>
      </c>
      <c r="B923" s="12" t="s">
        <v>1779</v>
      </c>
      <c r="C923" s="12" t="s">
        <v>50</v>
      </c>
      <c r="D923" s="13"/>
      <c r="E923" s="14" t="s">
        <v>1780</v>
      </c>
      <c r="F923" s="15" t="s">
        <v>24</v>
      </c>
      <c r="G923" s="16"/>
      <c r="H923" s="36">
        <v>52.3</v>
      </c>
      <c r="I923" s="36">
        <f>ROUND(H923-(H923*I2/100),2)</f>
        <v>52.3</v>
      </c>
      <c r="J923" s="27">
        <v>2008</v>
      </c>
      <c r="K923" s="18"/>
      <c r="L923" s="18"/>
      <c r="M923" s="20"/>
      <c r="N923" s="37">
        <f>I923*M923</f>
        <v>0</v>
      </c>
      <c r="O923" s="21">
        <v>0.15</v>
      </c>
      <c r="P923" s="22">
        <v>1.4999999999999999E-4</v>
      </c>
    </row>
    <row r="924" spans="1:16" s="1" customFormat="1" ht="119.1" customHeight="1" outlineLevel="4" x14ac:dyDescent="0.2">
      <c r="A924" s="11">
        <v>217001</v>
      </c>
      <c r="B924" s="12" t="s">
        <v>1781</v>
      </c>
      <c r="C924" s="12" t="s">
        <v>50</v>
      </c>
      <c r="D924" s="13"/>
      <c r="E924" s="14" t="s">
        <v>1782</v>
      </c>
      <c r="F924" s="15" t="s">
        <v>24</v>
      </c>
      <c r="G924" s="16"/>
      <c r="H924" s="36">
        <v>53.2</v>
      </c>
      <c r="I924" s="36">
        <f>ROUND(H924-(H924*I2/100),2)</f>
        <v>53.2</v>
      </c>
      <c r="J924" s="27">
        <v>1978</v>
      </c>
      <c r="K924" s="18"/>
      <c r="L924" s="18"/>
      <c r="M924" s="20"/>
      <c r="N924" s="37">
        <f>I924*M924</f>
        <v>0</v>
      </c>
      <c r="O924" s="21">
        <v>0.16</v>
      </c>
      <c r="P924" s="22">
        <v>3.1000000000000001E-5</v>
      </c>
    </row>
    <row r="925" spans="1:16" s="1" customFormat="1" ht="119.1" customHeight="1" outlineLevel="4" x14ac:dyDescent="0.2">
      <c r="A925" s="11">
        <v>205900</v>
      </c>
      <c r="B925" s="12" t="s">
        <v>1783</v>
      </c>
      <c r="C925" s="12" t="s">
        <v>50</v>
      </c>
      <c r="D925" s="13"/>
      <c r="E925" s="14" t="s">
        <v>1784</v>
      </c>
      <c r="F925" s="15" t="s">
        <v>24</v>
      </c>
      <c r="G925" s="16"/>
      <c r="H925" s="36">
        <v>89.9</v>
      </c>
      <c r="I925" s="36">
        <f>ROUND(H925-(H925*I2/100),2)</f>
        <v>89.9</v>
      </c>
      <c r="J925" s="17">
        <v>910</v>
      </c>
      <c r="K925" s="18"/>
      <c r="L925" s="18"/>
      <c r="M925" s="20"/>
      <c r="N925" s="37">
        <f>I925*M925</f>
        <v>0</v>
      </c>
      <c r="O925" s="21">
        <v>0.38</v>
      </c>
      <c r="P925" s="22">
        <v>1.4999999999999999E-4</v>
      </c>
    </row>
    <row r="926" spans="1:16" s="1" customFormat="1" ht="119.1" customHeight="1" outlineLevel="4" x14ac:dyDescent="0.2">
      <c r="A926" s="11">
        <v>205901</v>
      </c>
      <c r="B926" s="12" t="s">
        <v>1785</v>
      </c>
      <c r="C926" s="12" t="s">
        <v>50</v>
      </c>
      <c r="D926" s="13"/>
      <c r="E926" s="14" t="s">
        <v>1786</v>
      </c>
      <c r="F926" s="15" t="s">
        <v>24</v>
      </c>
      <c r="G926" s="16"/>
      <c r="H926" s="36">
        <v>104.8</v>
      </c>
      <c r="I926" s="36">
        <f>ROUND(H926-(H926*I2/100),2)</f>
        <v>104.8</v>
      </c>
      <c r="J926" s="17">
        <v>982</v>
      </c>
      <c r="K926" s="18"/>
      <c r="L926" s="18"/>
      <c r="M926" s="20"/>
      <c r="N926" s="37">
        <f>I926*M926</f>
        <v>0</v>
      </c>
      <c r="O926" s="21">
        <v>0.38</v>
      </c>
      <c r="P926" s="22">
        <v>2.5000000000000001E-4</v>
      </c>
    </row>
    <row r="927" spans="1:16" s="8" customFormat="1" ht="15.95" customHeight="1" outlineLevel="3" x14ac:dyDescent="0.25">
      <c r="A927" s="9"/>
      <c r="B927" s="10"/>
      <c r="C927" s="10"/>
      <c r="D927" s="10" t="s">
        <v>1787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spans="1:16" s="1" customFormat="1" ht="119.1" customHeight="1" outlineLevel="4" x14ac:dyDescent="0.2">
      <c r="A928" s="11">
        <v>168125</v>
      </c>
      <c r="B928" s="12" t="s">
        <v>1788</v>
      </c>
      <c r="C928" s="12" t="s">
        <v>22</v>
      </c>
      <c r="D928" s="13"/>
      <c r="E928" s="14" t="s">
        <v>1789</v>
      </c>
      <c r="F928" s="15" t="s">
        <v>24</v>
      </c>
      <c r="G928" s="16"/>
      <c r="H928" s="36">
        <v>146.6</v>
      </c>
      <c r="I928" s="36">
        <f>ROUND(H928-(H928*I2/100),2)</f>
        <v>146.6</v>
      </c>
      <c r="J928" s="17">
        <v>536</v>
      </c>
      <c r="K928" s="18"/>
      <c r="L928" s="18"/>
      <c r="M928" s="20"/>
      <c r="N928" s="37">
        <f t="shared" ref="N928:N945" si="40">I928*M928</f>
        <v>0</v>
      </c>
      <c r="O928" s="21">
        <v>0.16700000000000001</v>
      </c>
      <c r="P928" s="22">
        <v>9.6500000000000004E-4</v>
      </c>
    </row>
    <row r="929" spans="1:16" s="1" customFormat="1" ht="119.1" customHeight="1" outlineLevel="4" x14ac:dyDescent="0.2">
      <c r="A929" s="11">
        <v>198491</v>
      </c>
      <c r="B929" s="12" t="s">
        <v>1790</v>
      </c>
      <c r="C929" s="12" t="s">
        <v>22</v>
      </c>
      <c r="D929" s="13"/>
      <c r="E929" s="14" t="s">
        <v>1791</v>
      </c>
      <c r="F929" s="15" t="s">
        <v>24</v>
      </c>
      <c r="G929" s="16"/>
      <c r="H929" s="36">
        <v>251.2</v>
      </c>
      <c r="I929" s="36">
        <f>ROUND(H929-(H929*I2/100),2)</f>
        <v>251.2</v>
      </c>
      <c r="J929" s="17">
        <v>276</v>
      </c>
      <c r="K929" s="18"/>
      <c r="L929" s="18"/>
      <c r="M929" s="20"/>
      <c r="N929" s="37">
        <f t="shared" si="40"/>
        <v>0</v>
      </c>
      <c r="O929" s="21">
        <v>0.3</v>
      </c>
      <c r="P929" s="22">
        <v>1E-3</v>
      </c>
    </row>
    <row r="930" spans="1:16" s="1" customFormat="1" ht="119.1" customHeight="1" outlineLevel="4" x14ac:dyDescent="0.2">
      <c r="A930" s="11">
        <v>204168</v>
      </c>
      <c r="B930" s="12" t="s">
        <v>1792</v>
      </c>
      <c r="C930" s="12" t="s">
        <v>50</v>
      </c>
      <c r="D930" s="13"/>
      <c r="E930" s="14" t="s">
        <v>1793</v>
      </c>
      <c r="F930" s="15" t="s">
        <v>24</v>
      </c>
      <c r="G930" s="16"/>
      <c r="H930" s="36">
        <v>152.9</v>
      </c>
      <c r="I930" s="36">
        <f>ROUND(H930-(H930*I2/100),2)</f>
        <v>152.9</v>
      </c>
      <c r="J930" s="17">
        <v>23</v>
      </c>
      <c r="K930" s="18"/>
      <c r="L930" s="18"/>
      <c r="M930" s="20"/>
      <c r="N930" s="37">
        <f t="shared" si="40"/>
        <v>0</v>
      </c>
      <c r="O930" s="21">
        <v>0.5</v>
      </c>
      <c r="P930" s="22">
        <v>5.0000000000000001E-4</v>
      </c>
    </row>
    <row r="931" spans="1:16" s="1" customFormat="1" ht="119.1" customHeight="1" outlineLevel="4" x14ac:dyDescent="0.2">
      <c r="A931" s="11">
        <v>192253</v>
      </c>
      <c r="B931" s="12" t="s">
        <v>1794</v>
      </c>
      <c r="C931" s="12" t="s">
        <v>22</v>
      </c>
      <c r="D931" s="13"/>
      <c r="E931" s="14" t="s">
        <v>1795</v>
      </c>
      <c r="F931" s="15" t="s">
        <v>24</v>
      </c>
      <c r="G931" s="16"/>
      <c r="H931" s="36">
        <v>157.9</v>
      </c>
      <c r="I931" s="36">
        <f>ROUND(H931-(H931*I2/100),2)</f>
        <v>157.9</v>
      </c>
      <c r="J931" s="17">
        <v>266</v>
      </c>
      <c r="K931" s="18"/>
      <c r="L931" s="18"/>
      <c r="M931" s="20"/>
      <c r="N931" s="37">
        <f t="shared" si="40"/>
        <v>0</v>
      </c>
      <c r="O931" s="21">
        <v>0.16</v>
      </c>
      <c r="P931" s="22">
        <v>3.7800000000000003E-4</v>
      </c>
    </row>
    <row r="932" spans="1:16" s="1" customFormat="1" ht="119.1" customHeight="1" outlineLevel="4" x14ac:dyDescent="0.2">
      <c r="A932" s="11">
        <v>208263</v>
      </c>
      <c r="B932" s="12" t="s">
        <v>1796</v>
      </c>
      <c r="C932" s="12" t="s">
        <v>22</v>
      </c>
      <c r="D932" s="13"/>
      <c r="E932" s="14" t="s">
        <v>1797</v>
      </c>
      <c r="F932" s="15" t="s">
        <v>24</v>
      </c>
      <c r="G932" s="16"/>
      <c r="H932" s="36">
        <v>213.8</v>
      </c>
      <c r="I932" s="36">
        <f>ROUND(H932-(H932*I2/100),2)</f>
        <v>213.8</v>
      </c>
      <c r="J932" s="17">
        <v>164</v>
      </c>
      <c r="K932" s="18"/>
      <c r="L932" s="18"/>
      <c r="M932" s="20"/>
      <c r="N932" s="37">
        <f t="shared" si="40"/>
        <v>0</v>
      </c>
      <c r="O932" s="21">
        <v>0.14799999999999999</v>
      </c>
      <c r="P932" s="22">
        <v>8.6700000000000004E-4</v>
      </c>
    </row>
    <row r="933" spans="1:16" s="1" customFormat="1" ht="119.1" customHeight="1" outlineLevel="4" x14ac:dyDescent="0.2">
      <c r="A933" s="11">
        <v>183302</v>
      </c>
      <c r="B933" s="12" t="s">
        <v>1798</v>
      </c>
      <c r="C933" s="12" t="s">
        <v>22</v>
      </c>
      <c r="D933" s="13"/>
      <c r="E933" s="14" t="s">
        <v>1799</v>
      </c>
      <c r="F933" s="15" t="s">
        <v>24</v>
      </c>
      <c r="G933" s="16"/>
      <c r="H933" s="36">
        <v>652.79999999999995</v>
      </c>
      <c r="I933" s="36">
        <f>ROUND(H933-(H933*I2/100),2)</f>
        <v>652.79999999999995</v>
      </c>
      <c r="J933" s="17">
        <v>350</v>
      </c>
      <c r="K933" s="18"/>
      <c r="L933" s="18"/>
      <c r="M933" s="20"/>
      <c r="N933" s="37">
        <f t="shared" si="40"/>
        <v>0</v>
      </c>
      <c r="O933" s="21">
        <v>0.66700000000000004</v>
      </c>
      <c r="P933" s="22">
        <v>5.9300000000000004E-3</v>
      </c>
    </row>
    <row r="934" spans="1:16" s="1" customFormat="1" ht="119.1" customHeight="1" outlineLevel="4" x14ac:dyDescent="0.2">
      <c r="A934" s="11">
        <v>196188</v>
      </c>
      <c r="B934" s="12" t="s">
        <v>1800</v>
      </c>
      <c r="C934" s="12" t="s">
        <v>22</v>
      </c>
      <c r="D934" s="13"/>
      <c r="E934" s="14" t="s">
        <v>1801</v>
      </c>
      <c r="F934" s="15" t="s">
        <v>24</v>
      </c>
      <c r="G934" s="16"/>
      <c r="H934" s="36">
        <v>501.3</v>
      </c>
      <c r="I934" s="36">
        <f>ROUND(H934-(H934*I2/100),2)</f>
        <v>501.3</v>
      </c>
      <c r="J934" s="17">
        <v>61</v>
      </c>
      <c r="K934" s="18"/>
      <c r="L934" s="18"/>
      <c r="M934" s="20"/>
      <c r="N934" s="37">
        <f t="shared" si="40"/>
        <v>0</v>
      </c>
      <c r="O934" s="21">
        <v>0.24</v>
      </c>
      <c r="P934" s="22">
        <v>2.1819999999999999E-3</v>
      </c>
    </row>
    <row r="935" spans="1:16" s="1" customFormat="1" ht="119.1" customHeight="1" outlineLevel="4" x14ac:dyDescent="0.2">
      <c r="A935" s="11">
        <v>209600</v>
      </c>
      <c r="B935" s="12" t="s">
        <v>1802</v>
      </c>
      <c r="C935" s="12" t="s">
        <v>22</v>
      </c>
      <c r="D935" s="13"/>
      <c r="E935" s="14" t="s">
        <v>1803</v>
      </c>
      <c r="F935" s="15" t="s">
        <v>24</v>
      </c>
      <c r="G935" s="16"/>
      <c r="H935" s="36">
        <v>494.5</v>
      </c>
      <c r="I935" s="36">
        <f>ROUND(H935-(H935*I2/100),2)</f>
        <v>494.5</v>
      </c>
      <c r="J935" s="17">
        <v>265</v>
      </c>
      <c r="K935" s="18"/>
      <c r="L935" s="18"/>
      <c r="M935" s="20"/>
      <c r="N935" s="37">
        <f t="shared" si="40"/>
        <v>0</v>
      </c>
      <c r="O935" s="21">
        <v>0.3</v>
      </c>
      <c r="P935" s="22">
        <v>5.0000000000000001E-4</v>
      </c>
    </row>
    <row r="936" spans="1:16" s="1" customFormat="1" ht="119.1" customHeight="1" outlineLevel="4" x14ac:dyDescent="0.2">
      <c r="A936" s="11">
        <v>196196</v>
      </c>
      <c r="B936" s="12" t="s">
        <v>1804</v>
      </c>
      <c r="C936" s="12" t="s">
        <v>22</v>
      </c>
      <c r="D936" s="28"/>
      <c r="E936" s="29" t="s">
        <v>1805</v>
      </c>
      <c r="F936" s="30" t="s">
        <v>24</v>
      </c>
      <c r="G936" s="31" t="s">
        <v>209</v>
      </c>
      <c r="H936" s="36">
        <v>816.9</v>
      </c>
      <c r="I936" s="36">
        <f>ROUND(H936-(H936*I2/100),2)</f>
        <v>816.9</v>
      </c>
      <c r="J936" s="17">
        <v>194</v>
      </c>
      <c r="K936" s="18"/>
      <c r="L936" s="18"/>
      <c r="M936" s="20"/>
      <c r="N936" s="37">
        <f t="shared" si="40"/>
        <v>0</v>
      </c>
      <c r="O936" s="21">
        <v>0.38100000000000001</v>
      </c>
      <c r="P936" s="22">
        <v>4.2139999999999999E-3</v>
      </c>
    </row>
    <row r="937" spans="1:16" s="1" customFormat="1" ht="119.1" customHeight="1" outlineLevel="4" x14ac:dyDescent="0.2">
      <c r="A937" s="11">
        <v>189973</v>
      </c>
      <c r="B937" s="12" t="s">
        <v>1806</v>
      </c>
      <c r="C937" s="12" t="s">
        <v>22</v>
      </c>
      <c r="D937" s="13"/>
      <c r="E937" s="14" t="s">
        <v>1807</v>
      </c>
      <c r="F937" s="15" t="s">
        <v>24</v>
      </c>
      <c r="G937" s="16"/>
      <c r="H937" s="36">
        <v>258.60000000000002</v>
      </c>
      <c r="I937" s="36">
        <f>ROUND(H937-(H937*I2/100),2)</f>
        <v>258.60000000000002</v>
      </c>
      <c r="J937" s="17">
        <v>11</v>
      </c>
      <c r="K937" s="18"/>
      <c r="L937" s="18"/>
      <c r="M937" s="20"/>
      <c r="N937" s="37">
        <f t="shared" si="40"/>
        <v>0</v>
      </c>
      <c r="O937" s="21">
        <v>0.2</v>
      </c>
      <c r="P937" s="22">
        <v>2.0000000000000001E-4</v>
      </c>
    </row>
    <row r="938" spans="1:16" s="1" customFormat="1" ht="119.1" customHeight="1" outlineLevel="4" x14ac:dyDescent="0.2">
      <c r="A938" s="11">
        <v>203707</v>
      </c>
      <c r="B938" s="12" t="s">
        <v>1808</v>
      </c>
      <c r="C938" s="12" t="s">
        <v>22</v>
      </c>
      <c r="D938" s="13"/>
      <c r="E938" s="14" t="s">
        <v>1809</v>
      </c>
      <c r="F938" s="15" t="s">
        <v>24</v>
      </c>
      <c r="G938" s="16"/>
      <c r="H938" s="36">
        <v>353.4</v>
      </c>
      <c r="I938" s="36">
        <f>ROUND(H938-(H938*I2/100),2)</f>
        <v>353.4</v>
      </c>
      <c r="J938" s="17">
        <v>77</v>
      </c>
      <c r="K938" s="18"/>
      <c r="L938" s="18"/>
      <c r="M938" s="20"/>
      <c r="N938" s="37">
        <f t="shared" si="40"/>
        <v>0</v>
      </c>
      <c r="O938" s="21">
        <v>0.2</v>
      </c>
      <c r="P938" s="22">
        <v>2.9999999999999997E-4</v>
      </c>
    </row>
    <row r="939" spans="1:16" s="1" customFormat="1" ht="119.1" customHeight="1" outlineLevel="4" x14ac:dyDescent="0.2">
      <c r="A939" s="11">
        <v>203690</v>
      </c>
      <c r="B939" s="12" t="s">
        <v>1810</v>
      </c>
      <c r="C939" s="12" t="s">
        <v>22</v>
      </c>
      <c r="D939" s="13"/>
      <c r="E939" s="14" t="s">
        <v>1811</v>
      </c>
      <c r="F939" s="15" t="s">
        <v>24</v>
      </c>
      <c r="G939" s="16"/>
      <c r="H939" s="36">
        <v>532.6</v>
      </c>
      <c r="I939" s="36">
        <f>ROUND(H939-(H939*I2/100),2)</f>
        <v>532.6</v>
      </c>
      <c r="J939" s="17">
        <v>25</v>
      </c>
      <c r="K939" s="18"/>
      <c r="L939" s="18"/>
      <c r="M939" s="20"/>
      <c r="N939" s="37">
        <f t="shared" si="40"/>
        <v>0</v>
      </c>
      <c r="O939" s="21">
        <v>0.1</v>
      </c>
      <c r="P939" s="22">
        <v>6.2399999999999999E-4</v>
      </c>
    </row>
    <row r="940" spans="1:16" s="1" customFormat="1" ht="119.1" customHeight="1" outlineLevel="4" x14ac:dyDescent="0.2">
      <c r="A940" s="11">
        <v>195307</v>
      </c>
      <c r="B940" s="12" t="s">
        <v>1812</v>
      </c>
      <c r="C940" s="12" t="s">
        <v>22</v>
      </c>
      <c r="D940" s="13"/>
      <c r="E940" s="14" t="s">
        <v>1813</v>
      </c>
      <c r="F940" s="15" t="s">
        <v>24</v>
      </c>
      <c r="G940" s="16"/>
      <c r="H940" s="36">
        <v>323.5</v>
      </c>
      <c r="I940" s="36">
        <f>ROUND(H940-(H940*I2/100),2)</f>
        <v>323.5</v>
      </c>
      <c r="J940" s="17">
        <v>26</v>
      </c>
      <c r="K940" s="18"/>
      <c r="L940" s="18"/>
      <c r="M940" s="20"/>
      <c r="N940" s="37">
        <f t="shared" si="40"/>
        <v>0</v>
      </c>
      <c r="O940" s="21">
        <v>0.49199999999999999</v>
      </c>
      <c r="P940" s="22">
        <v>2.0249999999999999E-3</v>
      </c>
    </row>
    <row r="941" spans="1:16" s="1" customFormat="1" ht="119.1" customHeight="1" outlineLevel="4" x14ac:dyDescent="0.2">
      <c r="A941" s="11">
        <v>190277</v>
      </c>
      <c r="B941" s="12" t="s">
        <v>1814</v>
      </c>
      <c r="C941" s="12" t="s">
        <v>22</v>
      </c>
      <c r="D941" s="13"/>
      <c r="E941" s="14" t="s">
        <v>1815</v>
      </c>
      <c r="F941" s="15" t="s">
        <v>24</v>
      </c>
      <c r="G941" s="16"/>
      <c r="H941" s="36">
        <v>422.3</v>
      </c>
      <c r="I941" s="36">
        <f>ROUND(H941-(H941*I2/100),2)</f>
        <v>422.3</v>
      </c>
      <c r="J941" s="17">
        <v>128</v>
      </c>
      <c r="K941" s="18"/>
      <c r="L941" s="18"/>
      <c r="M941" s="20"/>
      <c r="N941" s="37">
        <f t="shared" si="40"/>
        <v>0</v>
      </c>
      <c r="O941" s="21">
        <v>0.2</v>
      </c>
      <c r="P941" s="22">
        <v>2.0000000000000001E-4</v>
      </c>
    </row>
    <row r="942" spans="1:16" s="1" customFormat="1" ht="119.1" customHeight="1" outlineLevel="4" x14ac:dyDescent="0.2">
      <c r="A942" s="11">
        <v>197213</v>
      </c>
      <c r="B942" s="12" t="s">
        <v>1816</v>
      </c>
      <c r="C942" s="12" t="s">
        <v>22</v>
      </c>
      <c r="D942" s="13"/>
      <c r="E942" s="14" t="s">
        <v>1817</v>
      </c>
      <c r="F942" s="15" t="s">
        <v>24</v>
      </c>
      <c r="G942" s="16"/>
      <c r="H942" s="36">
        <v>273.2</v>
      </c>
      <c r="I942" s="36">
        <f>ROUND(H942-(H942*I2/100),2)</f>
        <v>273.2</v>
      </c>
      <c r="J942" s="17">
        <v>19</v>
      </c>
      <c r="K942" s="18"/>
      <c r="L942" s="18"/>
      <c r="M942" s="20"/>
      <c r="N942" s="37">
        <f t="shared" si="40"/>
        <v>0</v>
      </c>
      <c r="O942" s="21">
        <v>0.2</v>
      </c>
      <c r="P942" s="22">
        <v>4.6999999999999999E-4</v>
      </c>
    </row>
    <row r="943" spans="1:16" s="1" customFormat="1" ht="119.1" customHeight="1" outlineLevel="4" x14ac:dyDescent="0.2">
      <c r="A943" s="11">
        <v>188543</v>
      </c>
      <c r="B943" s="12" t="s">
        <v>1818</v>
      </c>
      <c r="C943" s="12" t="s">
        <v>22</v>
      </c>
      <c r="D943" s="13"/>
      <c r="E943" s="14" t="s">
        <v>1819</v>
      </c>
      <c r="F943" s="15" t="s">
        <v>24</v>
      </c>
      <c r="G943" s="16"/>
      <c r="H943" s="36">
        <v>456.1</v>
      </c>
      <c r="I943" s="36">
        <f>ROUND(H943-(H943*I2/100),2)</f>
        <v>456.1</v>
      </c>
      <c r="J943" s="17">
        <v>68</v>
      </c>
      <c r="K943" s="18"/>
      <c r="L943" s="18"/>
      <c r="M943" s="20"/>
      <c r="N943" s="37">
        <f t="shared" si="40"/>
        <v>0</v>
      </c>
      <c r="O943" s="21">
        <v>0.61699999999999999</v>
      </c>
      <c r="P943" s="22">
        <v>3.5590000000000001E-3</v>
      </c>
    </row>
    <row r="944" spans="1:16" s="1" customFormat="1" ht="119.1" customHeight="1" outlineLevel="4" x14ac:dyDescent="0.2">
      <c r="A944" s="11">
        <v>189970</v>
      </c>
      <c r="B944" s="12" t="s">
        <v>1820</v>
      </c>
      <c r="C944" s="12" t="s">
        <v>22</v>
      </c>
      <c r="D944" s="13"/>
      <c r="E944" s="14" t="s">
        <v>1821</v>
      </c>
      <c r="F944" s="15" t="s">
        <v>24</v>
      </c>
      <c r="G944" s="16"/>
      <c r="H944" s="36">
        <v>473.4</v>
      </c>
      <c r="I944" s="36">
        <f>ROUND(H944-(H944*I2/100),2)</f>
        <v>473.4</v>
      </c>
      <c r="J944" s="17">
        <v>131</v>
      </c>
      <c r="K944" s="18"/>
      <c r="L944" s="18"/>
      <c r="M944" s="20"/>
      <c r="N944" s="37">
        <f t="shared" si="40"/>
        <v>0</v>
      </c>
      <c r="O944" s="21">
        <v>0.75</v>
      </c>
      <c r="P944" s="22">
        <v>2.6689999999999999E-3</v>
      </c>
    </row>
    <row r="945" spans="1:16" s="1" customFormat="1" ht="119.1" customHeight="1" outlineLevel="4" x14ac:dyDescent="0.2">
      <c r="A945" s="11">
        <v>212254</v>
      </c>
      <c r="B945" s="12" t="s">
        <v>1822</v>
      </c>
      <c r="C945" s="12" t="s">
        <v>50</v>
      </c>
      <c r="D945" s="13"/>
      <c r="E945" s="14" t="s">
        <v>1823</v>
      </c>
      <c r="F945" s="15" t="s">
        <v>24</v>
      </c>
      <c r="G945" s="16"/>
      <c r="H945" s="36">
        <v>246.1</v>
      </c>
      <c r="I945" s="36">
        <f>ROUND(H945-(H945*I2/100),2)</f>
        <v>246.1</v>
      </c>
      <c r="J945" s="17">
        <v>40</v>
      </c>
      <c r="K945" s="18"/>
      <c r="L945" s="18"/>
      <c r="M945" s="20"/>
      <c r="N945" s="37">
        <f t="shared" si="40"/>
        <v>0</v>
      </c>
      <c r="O945" s="21">
        <v>0.3</v>
      </c>
      <c r="P945" s="22">
        <v>2E-3</v>
      </c>
    </row>
    <row r="946" spans="1:16" s="8" customFormat="1" ht="15.95" customHeight="1" outlineLevel="3" x14ac:dyDescent="0.25">
      <c r="A946" s="9"/>
      <c r="B946" s="10"/>
      <c r="C946" s="10"/>
      <c r="D946" s="10" t="s">
        <v>1824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 spans="1:16" s="1" customFormat="1" ht="119.1" customHeight="1" outlineLevel="4" x14ac:dyDescent="0.2">
      <c r="A947" s="11">
        <v>196165</v>
      </c>
      <c r="B947" s="12" t="s">
        <v>1825</v>
      </c>
      <c r="C947" s="12" t="s">
        <v>22</v>
      </c>
      <c r="D947" s="13"/>
      <c r="E947" s="14" t="s">
        <v>1826</v>
      </c>
      <c r="F947" s="15" t="s">
        <v>24</v>
      </c>
      <c r="G947" s="16"/>
      <c r="H947" s="36">
        <v>200.4</v>
      </c>
      <c r="I947" s="36">
        <f>ROUND(H947-(H947*I2/100),2)</f>
        <v>200.4</v>
      </c>
      <c r="J947" s="17">
        <v>56</v>
      </c>
      <c r="K947" s="18"/>
      <c r="L947" s="18"/>
      <c r="M947" s="20"/>
      <c r="N947" s="37">
        <f t="shared" ref="N947:N956" si="41">I947*M947</f>
        <v>0</v>
      </c>
      <c r="O947" s="21">
        <v>0.115</v>
      </c>
      <c r="P947" s="22">
        <v>9.7E-5</v>
      </c>
    </row>
    <row r="948" spans="1:16" s="1" customFormat="1" ht="119.1" customHeight="1" outlineLevel="4" x14ac:dyDescent="0.2">
      <c r="A948" s="11">
        <v>189119</v>
      </c>
      <c r="B948" s="12" t="s">
        <v>1827</v>
      </c>
      <c r="C948" s="12" t="s">
        <v>22</v>
      </c>
      <c r="D948" s="13"/>
      <c r="E948" s="14" t="s">
        <v>1828</v>
      </c>
      <c r="F948" s="15" t="s">
        <v>24</v>
      </c>
      <c r="G948" s="16"/>
      <c r="H948" s="36">
        <v>675.2</v>
      </c>
      <c r="I948" s="36">
        <f>ROUND(H948-(H948*I2/100),2)</f>
        <v>675.2</v>
      </c>
      <c r="J948" s="17">
        <v>5</v>
      </c>
      <c r="K948" s="18"/>
      <c r="L948" s="18"/>
      <c r="M948" s="20"/>
      <c r="N948" s="37">
        <f t="shared" si="41"/>
        <v>0</v>
      </c>
      <c r="O948" s="21">
        <v>0.41799999999999998</v>
      </c>
      <c r="P948" s="22">
        <v>2.34E-4</v>
      </c>
    </row>
    <row r="949" spans="1:16" s="1" customFormat="1" ht="119.1" customHeight="1" outlineLevel="4" x14ac:dyDescent="0.2">
      <c r="A949" s="11">
        <v>195745</v>
      </c>
      <c r="B949" s="12" t="s">
        <v>1829</v>
      </c>
      <c r="C949" s="12" t="s">
        <v>22</v>
      </c>
      <c r="D949" s="13"/>
      <c r="E949" s="14" t="s">
        <v>1830</v>
      </c>
      <c r="F949" s="15" t="s">
        <v>24</v>
      </c>
      <c r="G949" s="16"/>
      <c r="H949" s="36">
        <v>165.2</v>
      </c>
      <c r="I949" s="36">
        <f>ROUND(H949-(H949*I2/100),2)</f>
        <v>165.2</v>
      </c>
      <c r="J949" s="17">
        <v>229</v>
      </c>
      <c r="K949" s="18"/>
      <c r="L949" s="18"/>
      <c r="M949" s="20"/>
      <c r="N949" s="37">
        <f t="shared" si="41"/>
        <v>0</v>
      </c>
      <c r="O949" s="21">
        <v>0.1</v>
      </c>
      <c r="P949" s="22">
        <v>9.7E-5</v>
      </c>
    </row>
    <row r="950" spans="1:16" s="1" customFormat="1" ht="119.1" customHeight="1" outlineLevel="4" x14ac:dyDescent="0.2">
      <c r="A950" s="11">
        <v>216164</v>
      </c>
      <c r="B950" s="12" t="s">
        <v>1831</v>
      </c>
      <c r="C950" s="12" t="s">
        <v>22</v>
      </c>
      <c r="D950" s="13"/>
      <c r="E950" s="14" t="s">
        <v>1832</v>
      </c>
      <c r="F950" s="15" t="s">
        <v>24</v>
      </c>
      <c r="G950" s="16"/>
      <c r="H950" s="36">
        <v>504</v>
      </c>
      <c r="I950" s="36">
        <f>ROUND(H950-(H950*I2/100),2)</f>
        <v>504</v>
      </c>
      <c r="J950" s="17">
        <v>88</v>
      </c>
      <c r="K950" s="18"/>
      <c r="L950" s="18"/>
      <c r="M950" s="20"/>
      <c r="N950" s="37">
        <f t="shared" si="41"/>
        <v>0</v>
      </c>
      <c r="O950" s="21">
        <v>0.3</v>
      </c>
      <c r="P950" s="22">
        <v>5.0000000000000001E-4</v>
      </c>
    </row>
    <row r="951" spans="1:16" s="1" customFormat="1" ht="119.1" customHeight="1" outlineLevel="4" x14ac:dyDescent="0.2">
      <c r="A951" s="11">
        <v>216165</v>
      </c>
      <c r="B951" s="12" t="s">
        <v>1833</v>
      </c>
      <c r="C951" s="12" t="s">
        <v>22</v>
      </c>
      <c r="D951" s="13"/>
      <c r="E951" s="14" t="s">
        <v>1834</v>
      </c>
      <c r="F951" s="15" t="s">
        <v>24</v>
      </c>
      <c r="G951" s="16"/>
      <c r="H951" s="36">
        <v>739.7</v>
      </c>
      <c r="I951" s="36">
        <f>ROUND(H951-(H951*I2/100),2)</f>
        <v>739.7</v>
      </c>
      <c r="J951" s="17">
        <v>72</v>
      </c>
      <c r="K951" s="18"/>
      <c r="L951" s="18"/>
      <c r="M951" s="20"/>
      <c r="N951" s="37">
        <f t="shared" si="41"/>
        <v>0</v>
      </c>
      <c r="O951" s="21">
        <v>0.3</v>
      </c>
      <c r="P951" s="22">
        <v>5.0000000000000001E-4</v>
      </c>
    </row>
    <row r="952" spans="1:16" s="1" customFormat="1" ht="119.1" customHeight="1" outlineLevel="4" x14ac:dyDescent="0.2">
      <c r="A952" s="11">
        <v>196162</v>
      </c>
      <c r="B952" s="12" t="s">
        <v>1835</v>
      </c>
      <c r="C952" s="12" t="s">
        <v>22</v>
      </c>
      <c r="D952" s="13"/>
      <c r="E952" s="14" t="s">
        <v>1836</v>
      </c>
      <c r="F952" s="15" t="s">
        <v>24</v>
      </c>
      <c r="G952" s="16"/>
      <c r="H952" s="36">
        <v>176.2</v>
      </c>
      <c r="I952" s="36">
        <f>ROUND(H952-(H952*I2/100),2)</f>
        <v>176.2</v>
      </c>
      <c r="J952" s="17">
        <v>106</v>
      </c>
      <c r="K952" s="18"/>
      <c r="L952" s="18"/>
      <c r="M952" s="20"/>
      <c r="N952" s="37">
        <f t="shared" si="41"/>
        <v>0</v>
      </c>
      <c r="O952" s="21">
        <v>0.113</v>
      </c>
      <c r="P952" s="22">
        <v>9.7E-5</v>
      </c>
    </row>
    <row r="953" spans="1:16" s="1" customFormat="1" ht="119.1" customHeight="1" outlineLevel="4" x14ac:dyDescent="0.2">
      <c r="A953" s="11">
        <v>170937</v>
      </c>
      <c r="B953" s="12" t="s">
        <v>1837</v>
      </c>
      <c r="C953" s="12" t="s">
        <v>22</v>
      </c>
      <c r="D953" s="13"/>
      <c r="E953" s="14" t="s">
        <v>1838</v>
      </c>
      <c r="F953" s="15" t="s">
        <v>24</v>
      </c>
      <c r="G953" s="16"/>
      <c r="H953" s="36">
        <v>160.80000000000001</v>
      </c>
      <c r="I953" s="36">
        <f>ROUND(H953-(H953*I2/100),2)</f>
        <v>160.80000000000001</v>
      </c>
      <c r="J953" s="17">
        <v>80</v>
      </c>
      <c r="K953" s="18"/>
      <c r="L953" s="18"/>
      <c r="M953" s="20"/>
      <c r="N953" s="37">
        <f t="shared" si="41"/>
        <v>0</v>
      </c>
      <c r="O953" s="21">
        <v>0.13</v>
      </c>
      <c r="P953" s="22">
        <v>3.1000000000000001E-5</v>
      </c>
    </row>
    <row r="954" spans="1:16" s="1" customFormat="1" ht="119.1" customHeight="1" outlineLevel="4" x14ac:dyDescent="0.2">
      <c r="A954" s="11">
        <v>196163</v>
      </c>
      <c r="B954" s="12" t="s">
        <v>1839</v>
      </c>
      <c r="C954" s="12" t="s">
        <v>22</v>
      </c>
      <c r="D954" s="13"/>
      <c r="E954" s="14" t="s">
        <v>1840</v>
      </c>
      <c r="F954" s="15" t="s">
        <v>24</v>
      </c>
      <c r="G954" s="16"/>
      <c r="H954" s="36">
        <v>222.8</v>
      </c>
      <c r="I954" s="36">
        <f>ROUND(H954-(H954*I2/100),2)</f>
        <v>222.8</v>
      </c>
      <c r="J954" s="17">
        <v>2</v>
      </c>
      <c r="K954" s="18"/>
      <c r="L954" s="18"/>
      <c r="M954" s="20"/>
      <c r="N954" s="37">
        <f t="shared" si="41"/>
        <v>0</v>
      </c>
      <c r="O954" s="21">
        <v>0.128</v>
      </c>
      <c r="P954" s="22">
        <v>1.15E-4</v>
      </c>
    </row>
    <row r="955" spans="1:16" s="1" customFormat="1" ht="119.1" customHeight="1" outlineLevel="4" x14ac:dyDescent="0.2">
      <c r="A955" s="11">
        <v>170941</v>
      </c>
      <c r="B955" s="12" t="s">
        <v>1841</v>
      </c>
      <c r="C955" s="12" t="s">
        <v>22</v>
      </c>
      <c r="D955" s="13"/>
      <c r="E955" s="14" t="s">
        <v>1842</v>
      </c>
      <c r="F955" s="15" t="s">
        <v>24</v>
      </c>
      <c r="G955" s="16"/>
      <c r="H955" s="36">
        <v>482.3</v>
      </c>
      <c r="I955" s="36">
        <f>ROUND(H955-(H955*I2/100),2)</f>
        <v>482.3</v>
      </c>
      <c r="J955" s="17">
        <v>50</v>
      </c>
      <c r="K955" s="18"/>
      <c r="L955" s="18"/>
      <c r="M955" s="20"/>
      <c r="N955" s="37">
        <f t="shared" si="41"/>
        <v>0</v>
      </c>
      <c r="O955" s="21">
        <v>0.58499999999999996</v>
      </c>
      <c r="P955" s="22">
        <v>1.5899999999999999E-4</v>
      </c>
    </row>
    <row r="956" spans="1:16" s="1" customFormat="1" ht="119.1" customHeight="1" outlineLevel="4" x14ac:dyDescent="0.2">
      <c r="A956" s="11">
        <v>196164</v>
      </c>
      <c r="B956" s="12" t="s">
        <v>1843</v>
      </c>
      <c r="C956" s="12" t="s">
        <v>22</v>
      </c>
      <c r="D956" s="13"/>
      <c r="E956" s="14" t="s">
        <v>1844</v>
      </c>
      <c r="F956" s="15" t="s">
        <v>24</v>
      </c>
      <c r="G956" s="16"/>
      <c r="H956" s="36">
        <v>753.4</v>
      </c>
      <c r="I956" s="36">
        <f>ROUND(H956-(H956*I2/100),2)</f>
        <v>753.4</v>
      </c>
      <c r="J956" s="17">
        <v>88</v>
      </c>
      <c r="K956" s="18"/>
      <c r="L956" s="18"/>
      <c r="M956" s="20"/>
      <c r="N956" s="37">
        <f t="shared" si="41"/>
        <v>0</v>
      </c>
      <c r="O956" s="21">
        <v>0.61</v>
      </c>
      <c r="P956" s="22">
        <v>3.8999999999999999E-4</v>
      </c>
    </row>
    <row r="957" spans="1:16" s="8" customFormat="1" ht="15.95" customHeight="1" outlineLevel="3" x14ac:dyDescent="0.25">
      <c r="A957" s="9"/>
      <c r="B957" s="10"/>
      <c r="C957" s="10"/>
      <c r="D957" s="10" t="s">
        <v>1845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 spans="1:16" s="1" customFormat="1" ht="119.1" customHeight="1" outlineLevel="4" x14ac:dyDescent="0.2">
      <c r="A958" s="11">
        <v>193919</v>
      </c>
      <c r="B958" s="12" t="s">
        <v>1846</v>
      </c>
      <c r="C958" s="12" t="s">
        <v>22</v>
      </c>
      <c r="D958" s="13"/>
      <c r="E958" s="14" t="s">
        <v>1847</v>
      </c>
      <c r="F958" s="15" t="s">
        <v>24</v>
      </c>
      <c r="G958" s="16"/>
      <c r="H958" s="36">
        <v>60.4</v>
      </c>
      <c r="I958" s="36">
        <f>ROUND(H958-(H958*I2/100),2)</f>
        <v>60.4</v>
      </c>
      <c r="J958" s="17">
        <v>175</v>
      </c>
      <c r="K958" s="18"/>
      <c r="L958" s="18"/>
      <c r="M958" s="20"/>
      <c r="N958" s="37">
        <f>I958*M958</f>
        <v>0</v>
      </c>
      <c r="O958" s="21">
        <v>4.5999999999999999E-2</v>
      </c>
      <c r="P958" s="22">
        <v>2.3E-5</v>
      </c>
    </row>
    <row r="959" spans="1:16" s="1" customFormat="1" ht="119.1" customHeight="1" outlineLevel="4" x14ac:dyDescent="0.2">
      <c r="A959" s="11">
        <v>196178</v>
      </c>
      <c r="B959" s="12" t="s">
        <v>1848</v>
      </c>
      <c r="C959" s="12" t="s">
        <v>22</v>
      </c>
      <c r="D959" s="13"/>
      <c r="E959" s="14" t="s">
        <v>1849</v>
      </c>
      <c r="F959" s="15" t="s">
        <v>24</v>
      </c>
      <c r="G959" s="16"/>
      <c r="H959" s="36">
        <v>84.8</v>
      </c>
      <c r="I959" s="36">
        <f>ROUND(H959-(H959*I2/100),2)</f>
        <v>84.8</v>
      </c>
      <c r="J959" s="17">
        <v>105</v>
      </c>
      <c r="K959" s="18"/>
      <c r="L959" s="18"/>
      <c r="M959" s="20"/>
      <c r="N959" s="37">
        <f>I959*M959</f>
        <v>0</v>
      </c>
      <c r="O959" s="21">
        <v>0.14000000000000001</v>
      </c>
      <c r="P959" s="22">
        <v>7.8999999999999996E-5</v>
      </c>
    </row>
    <row r="960" spans="1:16" s="1" customFormat="1" ht="119.1" customHeight="1" outlineLevel="4" x14ac:dyDescent="0.2">
      <c r="A960" s="11">
        <v>188433</v>
      </c>
      <c r="B960" s="12" t="s">
        <v>1850</v>
      </c>
      <c r="C960" s="12" t="s">
        <v>22</v>
      </c>
      <c r="D960" s="13"/>
      <c r="E960" s="14" t="s">
        <v>1851</v>
      </c>
      <c r="F960" s="15" t="s">
        <v>24</v>
      </c>
      <c r="G960" s="16"/>
      <c r="H960" s="36">
        <v>285.89999999999998</v>
      </c>
      <c r="I960" s="36">
        <f>ROUND(H960-(H960*I2/100),2)</f>
        <v>285.89999999999998</v>
      </c>
      <c r="J960" s="17">
        <v>505</v>
      </c>
      <c r="K960" s="18"/>
      <c r="L960" s="18"/>
      <c r="M960" s="20"/>
      <c r="N960" s="37">
        <f>I960*M960</f>
        <v>0</v>
      </c>
      <c r="O960" s="21">
        <v>0.54</v>
      </c>
      <c r="P960" s="22">
        <v>3.1700000000000001E-4</v>
      </c>
    </row>
    <row r="961" spans="1:16" s="1" customFormat="1" ht="119.1" customHeight="1" outlineLevel="4" x14ac:dyDescent="0.2">
      <c r="A961" s="11">
        <v>192284</v>
      </c>
      <c r="B961" s="12" t="s">
        <v>1852</v>
      </c>
      <c r="C961" s="12" t="s">
        <v>22</v>
      </c>
      <c r="D961" s="13"/>
      <c r="E961" s="14" t="s">
        <v>1853</v>
      </c>
      <c r="F961" s="15" t="s">
        <v>24</v>
      </c>
      <c r="G961" s="16"/>
      <c r="H961" s="36">
        <v>148.80000000000001</v>
      </c>
      <c r="I961" s="36">
        <f>ROUND(H961-(H961*I2/100),2)</f>
        <v>148.80000000000001</v>
      </c>
      <c r="J961" s="17">
        <v>106</v>
      </c>
      <c r="K961" s="18"/>
      <c r="L961" s="18"/>
      <c r="M961" s="20"/>
      <c r="N961" s="37">
        <f>I961*M961</f>
        <v>0</v>
      </c>
      <c r="O961" s="21">
        <v>0.16</v>
      </c>
      <c r="P961" s="22">
        <v>9.3999999999999994E-5</v>
      </c>
    </row>
    <row r="962" spans="1:16" s="1" customFormat="1" ht="119.1" customHeight="1" outlineLevel="4" x14ac:dyDescent="0.2">
      <c r="A962" s="11">
        <v>192285</v>
      </c>
      <c r="B962" s="12" t="s">
        <v>1854</v>
      </c>
      <c r="C962" s="12" t="s">
        <v>22</v>
      </c>
      <c r="D962" s="13"/>
      <c r="E962" s="14" t="s">
        <v>1855</v>
      </c>
      <c r="F962" s="15" t="s">
        <v>24</v>
      </c>
      <c r="G962" s="16"/>
      <c r="H962" s="36">
        <v>416.4</v>
      </c>
      <c r="I962" s="36">
        <f>ROUND(H962-(H962*I2/100),2)</f>
        <v>416.4</v>
      </c>
      <c r="J962" s="17">
        <v>227</v>
      </c>
      <c r="K962" s="18"/>
      <c r="L962" s="18"/>
      <c r="M962" s="20"/>
      <c r="N962" s="37">
        <f>I962*M962</f>
        <v>0</v>
      </c>
      <c r="O962" s="21">
        <v>0.5</v>
      </c>
      <c r="P962" s="22">
        <v>3.1700000000000001E-4</v>
      </c>
    </row>
    <row r="963" spans="1:16" s="8" customFormat="1" ht="15.95" customHeight="1" outlineLevel="3" x14ac:dyDescent="0.25">
      <c r="A963" s="9"/>
      <c r="B963" s="10"/>
      <c r="C963" s="10"/>
      <c r="D963" s="10" t="s">
        <v>1856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 spans="1:16" s="1" customFormat="1" ht="119.1" customHeight="1" outlineLevel="4" x14ac:dyDescent="0.2">
      <c r="A964" s="11">
        <v>196176</v>
      </c>
      <c r="B964" s="12" t="s">
        <v>1857</v>
      </c>
      <c r="C964" s="12" t="s">
        <v>22</v>
      </c>
      <c r="D964" s="13"/>
      <c r="E964" s="14" t="s">
        <v>1858</v>
      </c>
      <c r="F964" s="15" t="s">
        <v>24</v>
      </c>
      <c r="G964" s="16"/>
      <c r="H964" s="36">
        <v>39.200000000000003</v>
      </c>
      <c r="I964" s="36">
        <f>ROUND(H964-(H964*I2/100),2)</f>
        <v>39.200000000000003</v>
      </c>
      <c r="J964" s="17">
        <v>175</v>
      </c>
      <c r="K964" s="18"/>
      <c r="L964" s="18"/>
      <c r="M964" s="20"/>
      <c r="N964" s="37">
        <f t="shared" ref="N964:N971" si="42">I964*M964</f>
        <v>0</v>
      </c>
      <c r="O964" s="21">
        <v>2.9000000000000001E-2</v>
      </c>
      <c r="P964" s="22">
        <v>1.2999999999999999E-5</v>
      </c>
    </row>
    <row r="965" spans="1:16" s="1" customFormat="1" ht="119.1" customHeight="1" outlineLevel="4" x14ac:dyDescent="0.2">
      <c r="A965" s="11">
        <v>186115</v>
      </c>
      <c r="B965" s="12" t="s">
        <v>1859</v>
      </c>
      <c r="C965" s="12" t="s">
        <v>22</v>
      </c>
      <c r="D965" s="13"/>
      <c r="E965" s="14" t="s">
        <v>1860</v>
      </c>
      <c r="F965" s="15" t="s">
        <v>24</v>
      </c>
      <c r="G965" s="16"/>
      <c r="H965" s="36">
        <v>59.6</v>
      </c>
      <c r="I965" s="36">
        <f>ROUND(H965-(H965*I2/100),2)</f>
        <v>59.6</v>
      </c>
      <c r="J965" s="17">
        <v>875</v>
      </c>
      <c r="K965" s="18"/>
      <c r="L965" s="18"/>
      <c r="M965" s="20"/>
      <c r="N965" s="37">
        <f t="shared" si="42"/>
        <v>0</v>
      </c>
      <c r="O965" s="21">
        <v>0.08</v>
      </c>
      <c r="P965" s="22">
        <v>4.6999999999999997E-5</v>
      </c>
    </row>
    <row r="966" spans="1:16" s="1" customFormat="1" ht="119.1" customHeight="1" outlineLevel="4" x14ac:dyDescent="0.2">
      <c r="A966" s="11">
        <v>190517</v>
      </c>
      <c r="B966" s="12" t="s">
        <v>1861</v>
      </c>
      <c r="C966" s="12" t="s">
        <v>22</v>
      </c>
      <c r="D966" s="13"/>
      <c r="E966" s="14" t="s">
        <v>1862</v>
      </c>
      <c r="F966" s="15" t="s">
        <v>24</v>
      </c>
      <c r="G966" s="16"/>
      <c r="H966" s="36">
        <v>148.9</v>
      </c>
      <c r="I966" s="36">
        <f>ROUND(H966-(H966*I2/100),2)</f>
        <v>148.9</v>
      </c>
      <c r="J966" s="27">
        <v>1305</v>
      </c>
      <c r="K966" s="18"/>
      <c r="L966" s="18"/>
      <c r="M966" s="20"/>
      <c r="N966" s="37">
        <f t="shared" si="42"/>
        <v>0</v>
      </c>
      <c r="O966" s="21">
        <v>0.15</v>
      </c>
      <c r="P966" s="22">
        <v>1.06E-4</v>
      </c>
    </row>
    <row r="967" spans="1:16" s="1" customFormat="1" ht="119.1" customHeight="1" outlineLevel="4" x14ac:dyDescent="0.2">
      <c r="A967" s="11">
        <v>215004</v>
      </c>
      <c r="B967" s="12" t="s">
        <v>1863</v>
      </c>
      <c r="C967" s="12" t="s">
        <v>22</v>
      </c>
      <c r="D967" s="13"/>
      <c r="E967" s="14" t="s">
        <v>1864</v>
      </c>
      <c r="F967" s="15" t="s">
        <v>24</v>
      </c>
      <c r="G967" s="16"/>
      <c r="H967" s="36">
        <v>175.9</v>
      </c>
      <c r="I967" s="36">
        <f>ROUND(H967-(H967*I2/100),2)</f>
        <v>175.9</v>
      </c>
      <c r="J967" s="27">
        <v>1475</v>
      </c>
      <c r="K967" s="18"/>
      <c r="L967" s="18"/>
      <c r="M967" s="20"/>
      <c r="N967" s="37">
        <f t="shared" si="42"/>
        <v>0</v>
      </c>
      <c r="O967" s="21">
        <v>0.32</v>
      </c>
      <c r="P967" s="22">
        <v>2.0000000000000001E-4</v>
      </c>
    </row>
    <row r="968" spans="1:16" s="1" customFormat="1" ht="119.1" customHeight="1" outlineLevel="4" x14ac:dyDescent="0.2">
      <c r="A968" s="11">
        <v>168160</v>
      </c>
      <c r="B968" s="12" t="s">
        <v>1865</v>
      </c>
      <c r="C968" s="12" t="s">
        <v>22</v>
      </c>
      <c r="D968" s="13"/>
      <c r="E968" s="14" t="s">
        <v>1866</v>
      </c>
      <c r="F968" s="15" t="s">
        <v>24</v>
      </c>
      <c r="G968" s="16"/>
      <c r="H968" s="36">
        <v>193.4</v>
      </c>
      <c r="I968" s="36">
        <f>ROUND(H968-(H968*I2/100),2)</f>
        <v>193.4</v>
      </c>
      <c r="J968" s="17">
        <v>822</v>
      </c>
      <c r="K968" s="18"/>
      <c r="L968" s="18"/>
      <c r="M968" s="20"/>
      <c r="N968" s="37">
        <f t="shared" si="42"/>
        <v>0</v>
      </c>
      <c r="O968" s="21">
        <v>0.18</v>
      </c>
      <c r="P968" s="22">
        <v>1.06E-4</v>
      </c>
    </row>
    <row r="969" spans="1:16" s="1" customFormat="1" ht="119.1" customHeight="1" outlineLevel="4" x14ac:dyDescent="0.2">
      <c r="A969" s="11">
        <v>188670</v>
      </c>
      <c r="B969" s="12" t="s">
        <v>1867</v>
      </c>
      <c r="C969" s="12" t="s">
        <v>22</v>
      </c>
      <c r="D969" s="23"/>
      <c r="E969" s="24" t="s">
        <v>1868</v>
      </c>
      <c r="F969" s="25" t="s">
        <v>24</v>
      </c>
      <c r="G969" s="26" t="s">
        <v>39</v>
      </c>
      <c r="H969" s="36">
        <v>451.17</v>
      </c>
      <c r="I969" s="36">
        <f>H969</f>
        <v>451.17</v>
      </c>
      <c r="J969" s="17">
        <v>19</v>
      </c>
      <c r="K969" s="18"/>
      <c r="L969" s="18"/>
      <c r="M969" s="20"/>
      <c r="N969" s="37">
        <f t="shared" si="42"/>
        <v>0</v>
      </c>
      <c r="O969" s="21">
        <v>0.94799999999999995</v>
      </c>
      <c r="P969" s="22">
        <v>4.9200000000000003E-4</v>
      </c>
    </row>
    <row r="970" spans="1:16" s="1" customFormat="1" ht="119.1" customHeight="1" outlineLevel="4" x14ac:dyDescent="0.2">
      <c r="A970" s="11">
        <v>196203</v>
      </c>
      <c r="B970" s="12" t="s">
        <v>1869</v>
      </c>
      <c r="C970" s="12" t="s">
        <v>22</v>
      </c>
      <c r="D970" s="13"/>
      <c r="E970" s="14" t="s">
        <v>1870</v>
      </c>
      <c r="F970" s="15" t="s">
        <v>113</v>
      </c>
      <c r="G970" s="16"/>
      <c r="H970" s="36">
        <v>1498</v>
      </c>
      <c r="I970" s="36">
        <f>ROUND(H970-(H970*I2/100),2)</f>
        <v>1498</v>
      </c>
      <c r="J970" s="17">
        <v>91</v>
      </c>
      <c r="K970" s="18"/>
      <c r="L970" s="18"/>
      <c r="M970" s="20"/>
      <c r="N970" s="37">
        <f t="shared" si="42"/>
        <v>0</v>
      </c>
      <c r="O970" s="21">
        <v>0.7</v>
      </c>
      <c r="P970" s="22">
        <v>9.9999999999999995E-7</v>
      </c>
    </row>
    <row r="971" spans="1:16" s="1" customFormat="1" ht="119.1" customHeight="1" outlineLevel="4" x14ac:dyDescent="0.2">
      <c r="A971" s="11">
        <v>196202</v>
      </c>
      <c r="B971" s="12" t="s">
        <v>1871</v>
      </c>
      <c r="C971" s="12" t="s">
        <v>22</v>
      </c>
      <c r="D971" s="13"/>
      <c r="E971" s="14" t="s">
        <v>1872</v>
      </c>
      <c r="F971" s="15" t="s">
        <v>113</v>
      </c>
      <c r="G971" s="16"/>
      <c r="H971" s="36">
        <v>222.8</v>
      </c>
      <c r="I971" s="36">
        <f>ROUND(H971-(H971*I2/100),2)</f>
        <v>222.8</v>
      </c>
      <c r="J971" s="17">
        <v>59</v>
      </c>
      <c r="K971" s="18"/>
      <c r="L971" s="18"/>
      <c r="M971" s="20"/>
      <c r="N971" s="37">
        <f t="shared" si="42"/>
        <v>0</v>
      </c>
      <c r="O971" s="21">
        <v>0.184</v>
      </c>
      <c r="P971" s="22">
        <v>1.05E-4</v>
      </c>
    </row>
    <row r="972" spans="1:16" s="8" customFormat="1" ht="15.95" customHeight="1" outlineLevel="3" x14ac:dyDescent="0.25">
      <c r="A972" s="9"/>
      <c r="B972" s="10"/>
      <c r="C972" s="10"/>
      <c r="D972" s="10" t="s">
        <v>1873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 spans="1:16" s="1" customFormat="1" ht="119.1" customHeight="1" outlineLevel="4" x14ac:dyDescent="0.2">
      <c r="A973" s="11">
        <v>208259</v>
      </c>
      <c r="B973" s="12" t="s">
        <v>1874</v>
      </c>
      <c r="C973" s="12" t="s">
        <v>22</v>
      </c>
      <c r="D973" s="13"/>
      <c r="E973" s="14" t="s">
        <v>1875</v>
      </c>
      <c r="F973" s="15" t="s">
        <v>24</v>
      </c>
      <c r="G973" s="16"/>
      <c r="H973" s="36">
        <v>838.3</v>
      </c>
      <c r="I973" s="36">
        <f>ROUND(H973-(H973*I2/100),2)</f>
        <v>838.3</v>
      </c>
      <c r="J973" s="17">
        <v>61</v>
      </c>
      <c r="K973" s="18"/>
      <c r="L973" s="18"/>
      <c r="M973" s="20"/>
      <c r="N973" s="37">
        <f>I973*M973</f>
        <v>0</v>
      </c>
      <c r="O973" s="21">
        <v>0.4</v>
      </c>
      <c r="P973" s="22">
        <v>1.524E-3</v>
      </c>
    </row>
    <row r="974" spans="1:16" s="1" customFormat="1" ht="119.1" customHeight="1" outlineLevel="4" x14ac:dyDescent="0.2">
      <c r="A974" s="11">
        <v>187708</v>
      </c>
      <c r="B974" s="12" t="s">
        <v>1876</v>
      </c>
      <c r="C974" s="12" t="s">
        <v>22</v>
      </c>
      <c r="D974" s="13"/>
      <c r="E974" s="14" t="s">
        <v>1877</v>
      </c>
      <c r="F974" s="15" t="s">
        <v>113</v>
      </c>
      <c r="G974" s="16"/>
      <c r="H974" s="36">
        <v>236.1</v>
      </c>
      <c r="I974" s="36">
        <f>ROUND(H974-(H974*I2/100),2)</f>
        <v>236.1</v>
      </c>
      <c r="J974" s="17">
        <v>136</v>
      </c>
      <c r="K974" s="18"/>
      <c r="L974" s="18"/>
      <c r="M974" s="20"/>
      <c r="N974" s="37">
        <f>I974*M974</f>
        <v>0</v>
      </c>
      <c r="O974" s="21">
        <v>9.2999999999999999E-2</v>
      </c>
      <c r="P974" s="22">
        <v>5.44E-4</v>
      </c>
    </row>
    <row r="975" spans="1:16" s="1" customFormat="1" ht="119.1" customHeight="1" outlineLevel="4" x14ac:dyDescent="0.2">
      <c r="A975" s="11">
        <v>168162</v>
      </c>
      <c r="B975" s="12" t="s">
        <v>1878</v>
      </c>
      <c r="C975" s="12" t="s">
        <v>22</v>
      </c>
      <c r="D975" s="13"/>
      <c r="E975" s="14" t="s">
        <v>1879</v>
      </c>
      <c r="F975" s="15" t="s">
        <v>24</v>
      </c>
      <c r="G975" s="16"/>
      <c r="H975" s="36">
        <v>367.9</v>
      </c>
      <c r="I975" s="36">
        <f>ROUND(H975-(H975*I2/100),2)</f>
        <v>367.9</v>
      </c>
      <c r="J975" s="17">
        <v>22</v>
      </c>
      <c r="K975" s="18"/>
      <c r="L975" s="18"/>
      <c r="M975" s="20"/>
      <c r="N975" s="37">
        <f>I975*M975</f>
        <v>0</v>
      </c>
      <c r="O975" s="21">
        <v>0.4</v>
      </c>
      <c r="P975" s="22">
        <v>1E-4</v>
      </c>
    </row>
    <row r="976" spans="1:16" s="8" customFormat="1" ht="15.95" customHeight="1" outlineLevel="3" x14ac:dyDescent="0.25">
      <c r="A976" s="9"/>
      <c r="B976" s="10"/>
      <c r="C976" s="10"/>
      <c r="D976" s="10" t="s">
        <v>1880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 spans="1:16" s="1" customFormat="1" ht="119.1" customHeight="1" outlineLevel="4" x14ac:dyDescent="0.2">
      <c r="A977" s="11">
        <v>195748</v>
      </c>
      <c r="B977" s="12" t="s">
        <v>1881</v>
      </c>
      <c r="C977" s="12" t="s">
        <v>22</v>
      </c>
      <c r="D977" s="13"/>
      <c r="E977" s="14" t="s">
        <v>1882</v>
      </c>
      <c r="F977" s="15" t="s">
        <v>113</v>
      </c>
      <c r="G977" s="16"/>
      <c r="H977" s="36">
        <v>155.80000000000001</v>
      </c>
      <c r="I977" s="36">
        <f>ROUND(H977-(H977*I2/100),2)</f>
        <v>155.80000000000001</v>
      </c>
      <c r="J977" s="17">
        <v>332</v>
      </c>
      <c r="K977" s="18"/>
      <c r="L977" s="18"/>
      <c r="M977" s="20"/>
      <c r="N977" s="37">
        <f>I977*M977</f>
        <v>0</v>
      </c>
      <c r="O977" s="21">
        <v>0.186</v>
      </c>
      <c r="P977" s="22">
        <v>7.7499999999999997E-4</v>
      </c>
    </row>
    <row r="978" spans="1:16" s="8" customFormat="1" ht="15.95" customHeight="1" outlineLevel="3" x14ac:dyDescent="0.25">
      <c r="A978" s="9"/>
      <c r="B978" s="10"/>
      <c r="C978" s="10"/>
      <c r="D978" s="10" t="s">
        <v>1883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 spans="1:16" s="1" customFormat="1" ht="119.1" customHeight="1" outlineLevel="4" x14ac:dyDescent="0.2">
      <c r="A979" s="11">
        <v>189121</v>
      </c>
      <c r="B979" s="12" t="s">
        <v>1884</v>
      </c>
      <c r="C979" s="12" t="s">
        <v>22</v>
      </c>
      <c r="D979" s="13"/>
      <c r="E979" s="14" t="s">
        <v>1885</v>
      </c>
      <c r="F979" s="15" t="s">
        <v>24</v>
      </c>
      <c r="G979" s="16"/>
      <c r="H979" s="36">
        <v>747.7</v>
      </c>
      <c r="I979" s="36">
        <f>ROUND(H979-(H979*I2/100),2)</f>
        <v>747.7</v>
      </c>
      <c r="J979" s="17">
        <v>3</v>
      </c>
      <c r="K979" s="18"/>
      <c r="L979" s="18"/>
      <c r="M979" s="20"/>
      <c r="N979" s="37">
        <f>I979*M979</f>
        <v>0</v>
      </c>
      <c r="O979" s="21">
        <v>0.375</v>
      </c>
      <c r="P979" s="22">
        <v>4.7899999999999999E-4</v>
      </c>
    </row>
    <row r="980" spans="1:16" s="8" customFormat="1" ht="15.95" customHeight="1" outlineLevel="2" x14ac:dyDescent="0.25">
      <c r="A980" s="9"/>
      <c r="B980" s="10"/>
      <c r="C980" s="10"/>
      <c r="D980" s="10" t="s">
        <v>1886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 spans="1:16" s="8" customFormat="1" ht="15.95" customHeight="1" outlineLevel="3" x14ac:dyDescent="0.25">
      <c r="A981" s="9"/>
      <c r="B981" s="10"/>
      <c r="C981" s="10"/>
      <c r="D981" s="10" t="s">
        <v>1887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 spans="1:16" s="1" customFormat="1" ht="119.1" customHeight="1" outlineLevel="4" x14ac:dyDescent="0.2">
      <c r="A982" s="11">
        <v>177278</v>
      </c>
      <c r="B982" s="12" t="s">
        <v>1888</v>
      </c>
      <c r="C982" s="12" t="s">
        <v>22</v>
      </c>
      <c r="D982" s="13"/>
      <c r="E982" s="14" t="s">
        <v>1889</v>
      </c>
      <c r="F982" s="15" t="s">
        <v>24</v>
      </c>
      <c r="G982" s="16"/>
      <c r="H982" s="36">
        <v>958.9</v>
      </c>
      <c r="I982" s="36">
        <f>ROUND(H982-(H982*I2/100),2)</f>
        <v>958.9</v>
      </c>
      <c r="J982" s="17">
        <v>68</v>
      </c>
      <c r="K982" s="18"/>
      <c r="L982" s="18"/>
      <c r="M982" s="20"/>
      <c r="N982" s="37">
        <f>I982*M982</f>
        <v>0</v>
      </c>
      <c r="O982" s="21">
        <v>0.4</v>
      </c>
      <c r="P982" s="22">
        <v>2.0000000000000001E-4</v>
      </c>
    </row>
    <row r="983" spans="1:16" s="8" customFormat="1" ht="15.95" customHeight="1" outlineLevel="3" x14ac:dyDescent="0.25">
      <c r="A983" s="9"/>
      <c r="B983" s="10"/>
      <c r="C983" s="10"/>
      <c r="D983" s="10" t="s">
        <v>1890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 spans="1:16" s="1" customFormat="1" ht="119.1" customHeight="1" outlineLevel="4" x14ac:dyDescent="0.2">
      <c r="A984" s="11">
        <v>216838</v>
      </c>
      <c r="B984" s="12" t="s">
        <v>1891</v>
      </c>
      <c r="C984" s="12" t="s">
        <v>50</v>
      </c>
      <c r="D984" s="13"/>
      <c r="E984" s="14" t="s">
        <v>1892</v>
      </c>
      <c r="F984" s="15" t="s">
        <v>24</v>
      </c>
      <c r="G984" s="16"/>
      <c r="H984" s="36">
        <v>158.19999999999999</v>
      </c>
      <c r="I984" s="36">
        <f>ROUND(H984-(H984*I2/100),2)</f>
        <v>158.19999999999999</v>
      </c>
      <c r="J984" s="17">
        <v>8</v>
      </c>
      <c r="K984" s="18"/>
      <c r="L984" s="18"/>
      <c r="M984" s="20"/>
      <c r="N984" s="37">
        <f t="shared" ref="N984:N989" si="43">I984*M984</f>
        <v>0</v>
      </c>
      <c r="O984" s="21">
        <v>0.22500000000000001</v>
      </c>
      <c r="P984" s="22">
        <v>1.4400000000000001E-3</v>
      </c>
    </row>
    <row r="985" spans="1:16" s="1" customFormat="1" ht="119.1" customHeight="1" outlineLevel="4" x14ac:dyDescent="0.2">
      <c r="A985" s="11">
        <v>197335</v>
      </c>
      <c r="B985" s="12" t="s">
        <v>1893</v>
      </c>
      <c r="C985" s="12" t="s">
        <v>50</v>
      </c>
      <c r="D985" s="13"/>
      <c r="E985" s="14" t="s">
        <v>1894</v>
      </c>
      <c r="F985" s="15" t="s">
        <v>24</v>
      </c>
      <c r="G985" s="16"/>
      <c r="H985" s="36">
        <v>173.2</v>
      </c>
      <c r="I985" s="36">
        <f>ROUND(H985-(H985*I2/100),2)</f>
        <v>173.2</v>
      </c>
      <c r="J985" s="17">
        <v>44</v>
      </c>
      <c r="K985" s="18"/>
      <c r="L985" s="18"/>
      <c r="M985" s="20"/>
      <c r="N985" s="37">
        <f t="shared" si="43"/>
        <v>0</v>
      </c>
      <c r="O985" s="21">
        <v>0.23300000000000001</v>
      </c>
      <c r="P985" s="22">
        <v>2.5600000000000002E-3</v>
      </c>
    </row>
    <row r="986" spans="1:16" s="1" customFormat="1" ht="119.1" customHeight="1" outlineLevel="4" x14ac:dyDescent="0.2">
      <c r="A986" s="11">
        <v>197336</v>
      </c>
      <c r="B986" s="12" t="s">
        <v>1895</v>
      </c>
      <c r="C986" s="12" t="s">
        <v>50</v>
      </c>
      <c r="D986" s="13"/>
      <c r="E986" s="14" t="s">
        <v>1896</v>
      </c>
      <c r="F986" s="15" t="s">
        <v>24</v>
      </c>
      <c r="G986" s="16"/>
      <c r="H986" s="36">
        <v>210.9</v>
      </c>
      <c r="I986" s="36">
        <f>ROUND(H986-(H986*I2/100),2)</f>
        <v>210.9</v>
      </c>
      <c r="J986" s="17">
        <v>106</v>
      </c>
      <c r="K986" s="18"/>
      <c r="L986" s="18"/>
      <c r="M986" s="20"/>
      <c r="N986" s="37">
        <f t="shared" si="43"/>
        <v>0</v>
      </c>
      <c r="O986" s="21">
        <v>0.245</v>
      </c>
      <c r="P986" s="22">
        <v>2.5600000000000002E-3</v>
      </c>
    </row>
    <row r="987" spans="1:16" s="1" customFormat="1" ht="119.1" customHeight="1" outlineLevel="4" x14ac:dyDescent="0.2">
      <c r="A987" s="11">
        <v>197337</v>
      </c>
      <c r="B987" s="12" t="s">
        <v>1897</v>
      </c>
      <c r="C987" s="12" t="s">
        <v>50</v>
      </c>
      <c r="D987" s="13"/>
      <c r="E987" s="14" t="s">
        <v>1898</v>
      </c>
      <c r="F987" s="15" t="s">
        <v>24</v>
      </c>
      <c r="G987" s="16"/>
      <c r="H987" s="36">
        <v>323.2</v>
      </c>
      <c r="I987" s="36">
        <f>ROUND(H987-(H987*I2/100),2)</f>
        <v>323.2</v>
      </c>
      <c r="J987" s="17">
        <v>12</v>
      </c>
      <c r="K987" s="18"/>
      <c r="L987" s="18"/>
      <c r="M987" s="20"/>
      <c r="N987" s="37">
        <f t="shared" si="43"/>
        <v>0</v>
      </c>
      <c r="O987" s="21">
        <v>0.48499999999999999</v>
      </c>
      <c r="P987" s="22">
        <v>6.0000000000000001E-3</v>
      </c>
    </row>
    <row r="988" spans="1:16" s="1" customFormat="1" ht="119.1" customHeight="1" outlineLevel="4" x14ac:dyDescent="0.2">
      <c r="A988" s="11">
        <v>181040</v>
      </c>
      <c r="B988" s="12" t="s">
        <v>1899</v>
      </c>
      <c r="C988" s="12" t="s">
        <v>22</v>
      </c>
      <c r="D988" s="13"/>
      <c r="E988" s="14" t="s">
        <v>1900</v>
      </c>
      <c r="F988" s="15" t="s">
        <v>24</v>
      </c>
      <c r="G988" s="16"/>
      <c r="H988" s="36">
        <v>986.9</v>
      </c>
      <c r="I988" s="36">
        <f>ROUND(H988-(H988*I2/100),2)</f>
        <v>986.9</v>
      </c>
      <c r="J988" s="17">
        <v>27</v>
      </c>
      <c r="K988" s="18"/>
      <c r="L988" s="18"/>
      <c r="M988" s="20"/>
      <c r="N988" s="37">
        <f t="shared" si="43"/>
        <v>0</v>
      </c>
      <c r="O988" s="21">
        <v>1.18</v>
      </c>
      <c r="P988" s="22">
        <v>1.4513E-2</v>
      </c>
    </row>
    <row r="989" spans="1:16" s="1" customFormat="1" ht="119.1" customHeight="1" outlineLevel="4" x14ac:dyDescent="0.2">
      <c r="A989" s="11">
        <v>181048</v>
      </c>
      <c r="B989" s="12" t="s">
        <v>1901</v>
      </c>
      <c r="C989" s="12" t="s">
        <v>22</v>
      </c>
      <c r="D989" s="13"/>
      <c r="E989" s="14" t="s">
        <v>1902</v>
      </c>
      <c r="F989" s="15" t="s">
        <v>24</v>
      </c>
      <c r="G989" s="16"/>
      <c r="H989" s="36">
        <v>1138.4000000000001</v>
      </c>
      <c r="I989" s="36">
        <f>ROUND(H989-(H989*I2/100),2)</f>
        <v>1138.4000000000001</v>
      </c>
      <c r="J989" s="17">
        <v>61</v>
      </c>
      <c r="K989" s="18"/>
      <c r="L989" s="18"/>
      <c r="M989" s="20"/>
      <c r="N989" s="37">
        <f t="shared" si="43"/>
        <v>0</v>
      </c>
      <c r="O989" s="21">
        <v>1.4</v>
      </c>
      <c r="P989" s="22">
        <v>1.8641000000000001E-2</v>
      </c>
    </row>
    <row r="990" spans="1:16" s="8" customFormat="1" ht="15.95" customHeight="1" outlineLevel="3" x14ac:dyDescent="0.25">
      <c r="A990" s="9"/>
      <c r="B990" s="10"/>
      <c r="C990" s="10"/>
      <c r="D990" s="10" t="s">
        <v>1903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</row>
    <row r="991" spans="1:16" s="1" customFormat="1" ht="119.1" customHeight="1" outlineLevel="4" x14ac:dyDescent="0.2">
      <c r="A991" s="11">
        <v>216966</v>
      </c>
      <c r="B991" s="12" t="s">
        <v>1904</v>
      </c>
      <c r="C991" s="12" t="s">
        <v>50</v>
      </c>
      <c r="D991" s="13"/>
      <c r="E991" s="14" t="s">
        <v>1905</v>
      </c>
      <c r="F991" s="15" t="s">
        <v>24</v>
      </c>
      <c r="G991" s="16"/>
      <c r="H991" s="36">
        <v>880.3</v>
      </c>
      <c r="I991" s="36">
        <f>ROUND(H991-(H991*I2/100),2)</f>
        <v>880.3</v>
      </c>
      <c r="J991" s="17">
        <v>65</v>
      </c>
      <c r="K991" s="18"/>
      <c r="L991" s="18"/>
      <c r="M991" s="20"/>
      <c r="N991" s="37">
        <f>I991*M991</f>
        <v>0</v>
      </c>
      <c r="O991" s="21">
        <v>0.6</v>
      </c>
      <c r="P991" s="22">
        <v>2E-3</v>
      </c>
    </row>
    <row r="992" spans="1:16" s="1" customFormat="1" ht="119.1" customHeight="1" outlineLevel="4" x14ac:dyDescent="0.2">
      <c r="A992" s="11">
        <v>216967</v>
      </c>
      <c r="B992" s="12" t="s">
        <v>1906</v>
      </c>
      <c r="C992" s="12" t="s">
        <v>50</v>
      </c>
      <c r="D992" s="13"/>
      <c r="E992" s="14" t="s">
        <v>1907</v>
      </c>
      <c r="F992" s="15" t="s">
        <v>24</v>
      </c>
      <c r="G992" s="16"/>
      <c r="H992" s="36">
        <v>1230.0999999999999</v>
      </c>
      <c r="I992" s="36">
        <f>ROUND(H992-(H992*I2/100),2)</f>
        <v>1230.0999999999999</v>
      </c>
      <c r="J992" s="17">
        <v>54</v>
      </c>
      <c r="K992" s="18"/>
      <c r="L992" s="18"/>
      <c r="M992" s="20"/>
      <c r="N992" s="37">
        <f>I992*M992</f>
        <v>0</v>
      </c>
      <c r="O992" s="21">
        <v>0.97</v>
      </c>
      <c r="P992" s="22">
        <v>3.0000000000000001E-3</v>
      </c>
    </row>
    <row r="993" spans="1:16" s="1" customFormat="1" ht="119.1" customHeight="1" outlineLevel="4" x14ac:dyDescent="0.2">
      <c r="A993" s="11">
        <v>216968</v>
      </c>
      <c r="B993" s="12" t="s">
        <v>1908</v>
      </c>
      <c r="C993" s="12" t="s">
        <v>50</v>
      </c>
      <c r="D993" s="13"/>
      <c r="E993" s="14" t="s">
        <v>1909</v>
      </c>
      <c r="F993" s="15" t="s">
        <v>24</v>
      </c>
      <c r="G993" s="16"/>
      <c r="H993" s="36">
        <v>1582</v>
      </c>
      <c r="I993" s="36">
        <f>ROUND(H993-(H993*I2/100),2)</f>
        <v>1582</v>
      </c>
      <c r="J993" s="17">
        <v>54</v>
      </c>
      <c r="K993" s="18"/>
      <c r="L993" s="18"/>
      <c r="M993" s="20"/>
      <c r="N993" s="37">
        <f>I993*M993</f>
        <v>0</v>
      </c>
      <c r="O993" s="21">
        <v>1.3</v>
      </c>
      <c r="P993" s="22">
        <v>3.5999999999999999E-3</v>
      </c>
    </row>
    <row r="994" spans="1:16" s="8" customFormat="1" ht="15.95" customHeight="1" outlineLevel="3" x14ac:dyDescent="0.25">
      <c r="A994" s="9"/>
      <c r="B994" s="10"/>
      <c r="C994" s="10"/>
      <c r="D994" s="10" t="s">
        <v>1910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</row>
    <row r="995" spans="1:16" s="1" customFormat="1" ht="119.1" customHeight="1" outlineLevel="4" x14ac:dyDescent="0.2">
      <c r="A995" s="11">
        <v>216980</v>
      </c>
      <c r="B995" s="12" t="s">
        <v>1911</v>
      </c>
      <c r="C995" s="12" t="s">
        <v>50</v>
      </c>
      <c r="D995" s="13"/>
      <c r="E995" s="14" t="s">
        <v>1912</v>
      </c>
      <c r="F995" s="15" t="s">
        <v>24</v>
      </c>
      <c r="G995" s="16"/>
      <c r="H995" s="36">
        <v>202.9</v>
      </c>
      <c r="I995" s="36">
        <f>ROUND(H995-(H995*I2/100),2)</f>
        <v>202.9</v>
      </c>
      <c r="J995" s="17">
        <v>18</v>
      </c>
      <c r="K995" s="18"/>
      <c r="L995" s="18"/>
      <c r="M995" s="20"/>
      <c r="N995" s="37">
        <f>I995*M995</f>
        <v>0</v>
      </c>
      <c r="O995" s="21">
        <v>0.12</v>
      </c>
      <c r="P995" s="22">
        <v>1.008E-3</v>
      </c>
    </row>
    <row r="996" spans="1:16" s="8" customFormat="1" ht="15.95" customHeight="1" outlineLevel="3" x14ac:dyDescent="0.25">
      <c r="A996" s="9"/>
      <c r="B996" s="10"/>
      <c r="C996" s="10"/>
      <c r="D996" s="10" t="s">
        <v>1913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</row>
    <row r="997" spans="1:16" s="1" customFormat="1" ht="119.1" customHeight="1" outlineLevel="4" x14ac:dyDescent="0.2">
      <c r="A997" s="11">
        <v>196280</v>
      </c>
      <c r="B997" s="12" t="s">
        <v>1914</v>
      </c>
      <c r="C997" s="12" t="s">
        <v>50</v>
      </c>
      <c r="D997" s="13"/>
      <c r="E997" s="14" t="s">
        <v>1915</v>
      </c>
      <c r="F997" s="15" t="s">
        <v>24</v>
      </c>
      <c r="G997" s="16"/>
      <c r="H997" s="36">
        <v>89.3</v>
      </c>
      <c r="I997" s="36">
        <f>ROUND(H997-(H997*I2/100),2)</f>
        <v>89.3</v>
      </c>
      <c r="J997" s="27">
        <v>1876</v>
      </c>
      <c r="K997" s="18"/>
      <c r="L997" s="18"/>
      <c r="M997" s="20"/>
      <c r="N997" s="37">
        <f>I997*M997</f>
        <v>0</v>
      </c>
      <c r="O997" s="21">
        <v>0.1</v>
      </c>
      <c r="P997" s="22">
        <v>9.6100000000000005E-4</v>
      </c>
    </row>
    <row r="998" spans="1:16" s="1" customFormat="1" ht="119.1" customHeight="1" outlineLevel="4" x14ac:dyDescent="0.2">
      <c r="A998" s="11">
        <v>204162</v>
      </c>
      <c r="B998" s="12" t="s">
        <v>1916</v>
      </c>
      <c r="C998" s="12" t="s">
        <v>50</v>
      </c>
      <c r="D998" s="13"/>
      <c r="E998" s="14" t="s">
        <v>1917</v>
      </c>
      <c r="F998" s="15" t="s">
        <v>24</v>
      </c>
      <c r="G998" s="16"/>
      <c r="H998" s="36">
        <v>287.5</v>
      </c>
      <c r="I998" s="36">
        <f>ROUND(H998-(H998*I2/100),2)</f>
        <v>287.5</v>
      </c>
      <c r="J998" s="27">
        <v>1140</v>
      </c>
      <c r="K998" s="18"/>
      <c r="L998" s="18"/>
      <c r="M998" s="20"/>
      <c r="N998" s="37">
        <f>I998*M998</f>
        <v>0</v>
      </c>
      <c r="O998" s="21">
        <v>0.3</v>
      </c>
      <c r="P998" s="22">
        <v>2.0000000000000001E-4</v>
      </c>
    </row>
    <row r="999" spans="1:16" s="1" customFormat="1" ht="119.1" customHeight="1" outlineLevel="4" x14ac:dyDescent="0.2">
      <c r="A999" s="11">
        <v>201933</v>
      </c>
      <c r="B999" s="12" t="s">
        <v>1918</v>
      </c>
      <c r="C999" s="12" t="s">
        <v>50</v>
      </c>
      <c r="D999" s="13"/>
      <c r="E999" s="14" t="s">
        <v>1919</v>
      </c>
      <c r="F999" s="15" t="s">
        <v>24</v>
      </c>
      <c r="G999" s="16"/>
      <c r="H999" s="36">
        <v>381.8</v>
      </c>
      <c r="I999" s="36">
        <f>ROUND(H999-(H999*I2/100),2)</f>
        <v>381.8</v>
      </c>
      <c r="J999" s="17">
        <v>443</v>
      </c>
      <c r="K999" s="18"/>
      <c r="L999" s="18"/>
      <c r="M999" s="20"/>
      <c r="N999" s="37">
        <f>I999*M999</f>
        <v>0</v>
      </c>
      <c r="O999" s="21">
        <v>0.3</v>
      </c>
      <c r="P999" s="22">
        <v>4.0130000000000001E-3</v>
      </c>
    </row>
    <row r="1000" spans="1:16" s="1" customFormat="1" ht="119.1" customHeight="1" outlineLevel="4" x14ac:dyDescent="0.2">
      <c r="A1000" s="11">
        <v>203743</v>
      </c>
      <c r="B1000" s="12" t="s">
        <v>1920</v>
      </c>
      <c r="C1000" s="12" t="s">
        <v>50</v>
      </c>
      <c r="D1000" s="13"/>
      <c r="E1000" s="14" t="s">
        <v>1921</v>
      </c>
      <c r="F1000" s="15" t="s">
        <v>24</v>
      </c>
      <c r="G1000" s="16"/>
      <c r="H1000" s="36">
        <v>498.6</v>
      </c>
      <c r="I1000" s="36">
        <f>ROUND(H1000-(H1000*I2/100),2)</f>
        <v>498.6</v>
      </c>
      <c r="J1000" s="17">
        <v>274</v>
      </c>
      <c r="K1000" s="18"/>
      <c r="L1000" s="18"/>
      <c r="M1000" s="20"/>
      <c r="N1000" s="37">
        <f>I1000*M1000</f>
        <v>0</v>
      </c>
      <c r="O1000" s="21">
        <v>0.2</v>
      </c>
      <c r="P1000" s="22">
        <v>2.0000000000000001E-4</v>
      </c>
    </row>
    <row r="1001" spans="1:16" s="8" customFormat="1" ht="15.95" customHeight="1" outlineLevel="2" x14ac:dyDescent="0.25">
      <c r="A1001" s="9"/>
      <c r="B1001" s="10"/>
      <c r="C1001" s="10"/>
      <c r="D1001" s="10" t="s">
        <v>1922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</row>
    <row r="1002" spans="1:16" s="1" customFormat="1" ht="119.1" customHeight="1" outlineLevel="3" x14ac:dyDescent="0.2">
      <c r="A1002" s="11">
        <v>208261</v>
      </c>
      <c r="B1002" s="12" t="s">
        <v>1923</v>
      </c>
      <c r="C1002" s="12" t="s">
        <v>22</v>
      </c>
      <c r="D1002" s="13"/>
      <c r="E1002" s="14" t="s">
        <v>1924</v>
      </c>
      <c r="F1002" s="15" t="s">
        <v>24</v>
      </c>
      <c r="G1002" s="16"/>
      <c r="H1002" s="36">
        <v>4407.1000000000004</v>
      </c>
      <c r="I1002" s="36">
        <f>ROUND(H1002-(H1002*I2/100),2)</f>
        <v>4407.1000000000004</v>
      </c>
      <c r="J1002" s="17">
        <v>37</v>
      </c>
      <c r="K1002" s="18"/>
      <c r="L1002" s="18"/>
      <c r="M1002" s="20"/>
      <c r="N1002" s="37">
        <f t="shared" ref="N1002:N1024" si="44">I1002*M1002</f>
        <v>0</v>
      </c>
      <c r="O1002" s="21">
        <v>4.45</v>
      </c>
      <c r="P1002" s="22">
        <v>3.9246000000000003E-2</v>
      </c>
    </row>
    <row r="1003" spans="1:16" s="1" customFormat="1" ht="119.1" customHeight="1" outlineLevel="3" x14ac:dyDescent="0.2">
      <c r="A1003" s="11">
        <v>200308</v>
      </c>
      <c r="B1003" s="12" t="s">
        <v>1925</v>
      </c>
      <c r="C1003" s="12" t="s">
        <v>50</v>
      </c>
      <c r="D1003" s="13"/>
      <c r="E1003" s="14" t="s">
        <v>1926</v>
      </c>
      <c r="F1003" s="15" t="s">
        <v>24</v>
      </c>
      <c r="G1003" s="16"/>
      <c r="H1003" s="36">
        <v>429.5</v>
      </c>
      <c r="I1003" s="36">
        <f>ROUND(H1003-(H1003*I2/100),2)</f>
        <v>429.5</v>
      </c>
      <c r="J1003" s="17">
        <v>13</v>
      </c>
      <c r="K1003" s="18"/>
      <c r="L1003" s="18"/>
      <c r="M1003" s="20"/>
      <c r="N1003" s="37">
        <f t="shared" si="44"/>
        <v>0</v>
      </c>
      <c r="O1003" s="21">
        <v>0.44</v>
      </c>
      <c r="P1003" s="22">
        <v>8.9999999999999993E-3</v>
      </c>
    </row>
    <row r="1004" spans="1:16" s="1" customFormat="1" ht="119.1" customHeight="1" outlineLevel="3" x14ac:dyDescent="0.2">
      <c r="A1004" s="11">
        <v>197646</v>
      </c>
      <c r="B1004" s="12" t="s">
        <v>1927</v>
      </c>
      <c r="C1004" s="12" t="s">
        <v>22</v>
      </c>
      <c r="D1004" s="13"/>
      <c r="E1004" s="14" t="s">
        <v>1928</v>
      </c>
      <c r="F1004" s="15" t="s">
        <v>24</v>
      </c>
      <c r="G1004" s="16"/>
      <c r="H1004" s="36">
        <v>2289.1</v>
      </c>
      <c r="I1004" s="36">
        <f>ROUND(H1004-(H1004*I2/100),2)</f>
        <v>2289.1</v>
      </c>
      <c r="J1004" s="17">
        <v>17</v>
      </c>
      <c r="K1004" s="18"/>
      <c r="L1004" s="18"/>
      <c r="M1004" s="20"/>
      <c r="N1004" s="37">
        <f t="shared" si="44"/>
        <v>0</v>
      </c>
      <c r="O1004" s="21">
        <v>0.5</v>
      </c>
      <c r="P1004" s="22">
        <v>2.5024000000000001E-2</v>
      </c>
    </row>
    <row r="1005" spans="1:16" s="1" customFormat="1" ht="119.1" customHeight="1" outlineLevel="3" x14ac:dyDescent="0.2">
      <c r="A1005" s="11">
        <v>190524</v>
      </c>
      <c r="B1005" s="12" t="s">
        <v>1929</v>
      </c>
      <c r="C1005" s="12" t="s">
        <v>22</v>
      </c>
      <c r="D1005" s="13"/>
      <c r="E1005" s="14" t="s">
        <v>1930</v>
      </c>
      <c r="F1005" s="15" t="s">
        <v>24</v>
      </c>
      <c r="G1005" s="16"/>
      <c r="H1005" s="36">
        <v>5155.1000000000004</v>
      </c>
      <c r="I1005" s="36">
        <f>ROUND(H1005-(H1005*I2/100),2)</f>
        <v>5155.1000000000004</v>
      </c>
      <c r="J1005" s="17">
        <v>11</v>
      </c>
      <c r="K1005" s="18"/>
      <c r="L1005" s="18"/>
      <c r="M1005" s="20"/>
      <c r="N1005" s="37">
        <f t="shared" si="44"/>
        <v>0</v>
      </c>
      <c r="O1005" s="21">
        <v>4.3</v>
      </c>
      <c r="P1005" s="22">
        <v>4.9279999999999997E-2</v>
      </c>
    </row>
    <row r="1006" spans="1:16" s="1" customFormat="1" ht="119.1" customHeight="1" outlineLevel="3" x14ac:dyDescent="0.2">
      <c r="A1006" s="11">
        <v>168109</v>
      </c>
      <c r="B1006" s="12" t="s">
        <v>1931</v>
      </c>
      <c r="C1006" s="12" t="s">
        <v>22</v>
      </c>
      <c r="D1006" s="13"/>
      <c r="E1006" s="14" t="s">
        <v>1932</v>
      </c>
      <c r="F1006" s="15" t="s">
        <v>24</v>
      </c>
      <c r="G1006" s="16"/>
      <c r="H1006" s="36">
        <v>208.2</v>
      </c>
      <c r="I1006" s="36">
        <f>ROUND(H1006-(H1006*I2/100),2)</f>
        <v>208.2</v>
      </c>
      <c r="J1006" s="17">
        <v>140</v>
      </c>
      <c r="K1006" s="18"/>
      <c r="L1006" s="18"/>
      <c r="M1006" s="20"/>
      <c r="N1006" s="37">
        <f t="shared" si="44"/>
        <v>0</v>
      </c>
      <c r="O1006" s="21">
        <v>5.6000000000000001E-2</v>
      </c>
      <c r="P1006" s="22">
        <v>9.3599999999999998E-4</v>
      </c>
    </row>
    <row r="1007" spans="1:16" s="1" customFormat="1" ht="119.1" customHeight="1" outlineLevel="3" x14ac:dyDescent="0.2">
      <c r="A1007" s="11">
        <v>187932</v>
      </c>
      <c r="B1007" s="12" t="s">
        <v>1933</v>
      </c>
      <c r="C1007" s="12" t="s">
        <v>22</v>
      </c>
      <c r="D1007" s="13"/>
      <c r="E1007" s="14" t="s">
        <v>1934</v>
      </c>
      <c r="F1007" s="15" t="s">
        <v>24</v>
      </c>
      <c r="G1007" s="16"/>
      <c r="H1007" s="36">
        <v>1094.8</v>
      </c>
      <c r="I1007" s="36">
        <f>ROUND(H1007-(H1007*I2/100),2)</f>
        <v>1094.8</v>
      </c>
      <c r="J1007" s="17">
        <v>74</v>
      </c>
      <c r="K1007" s="18"/>
      <c r="L1007" s="18"/>
      <c r="M1007" s="20"/>
      <c r="N1007" s="37">
        <f t="shared" si="44"/>
        <v>0</v>
      </c>
      <c r="O1007" s="21">
        <v>0.375</v>
      </c>
      <c r="P1007" s="22">
        <v>2.8800000000000002E-3</v>
      </c>
    </row>
    <row r="1008" spans="1:16" s="1" customFormat="1" ht="119.1" customHeight="1" outlineLevel="3" x14ac:dyDescent="0.2">
      <c r="A1008" s="11">
        <v>200474</v>
      </c>
      <c r="B1008" s="12" t="s">
        <v>1935</v>
      </c>
      <c r="C1008" s="12" t="s">
        <v>22</v>
      </c>
      <c r="D1008" s="13"/>
      <c r="E1008" s="14" t="s">
        <v>1936</v>
      </c>
      <c r="F1008" s="15" t="s">
        <v>24</v>
      </c>
      <c r="G1008" s="16"/>
      <c r="H1008" s="36">
        <v>261.3</v>
      </c>
      <c r="I1008" s="36">
        <f>ROUND(H1008-(H1008*I2/100),2)</f>
        <v>261.3</v>
      </c>
      <c r="J1008" s="17">
        <v>22</v>
      </c>
      <c r="K1008" s="18"/>
      <c r="L1008" s="18"/>
      <c r="M1008" s="20"/>
      <c r="N1008" s="37">
        <f t="shared" si="44"/>
        <v>0</v>
      </c>
      <c r="O1008" s="21">
        <v>0.3</v>
      </c>
      <c r="P1008" s="22">
        <v>8.0000000000000004E-4</v>
      </c>
    </row>
    <row r="1009" spans="1:16" s="1" customFormat="1" ht="119.1" customHeight="1" outlineLevel="3" x14ac:dyDescent="0.2">
      <c r="A1009" s="11">
        <v>208262</v>
      </c>
      <c r="B1009" s="12" t="s">
        <v>1937</v>
      </c>
      <c r="C1009" s="12" t="s">
        <v>22</v>
      </c>
      <c r="D1009" s="13"/>
      <c r="E1009" s="14" t="s">
        <v>1938</v>
      </c>
      <c r="F1009" s="15" t="s">
        <v>24</v>
      </c>
      <c r="G1009" s="16"/>
      <c r="H1009" s="36">
        <v>465.3</v>
      </c>
      <c r="I1009" s="36">
        <f>ROUND(H1009-(H1009*I2/100),2)</f>
        <v>465.3</v>
      </c>
      <c r="J1009" s="17">
        <v>22</v>
      </c>
      <c r="K1009" s="18"/>
      <c r="L1009" s="18"/>
      <c r="M1009" s="20"/>
      <c r="N1009" s="37">
        <f t="shared" si="44"/>
        <v>0</v>
      </c>
      <c r="O1009" s="21">
        <v>0.3</v>
      </c>
      <c r="P1009" s="22">
        <v>2.2039999999999998E-3</v>
      </c>
    </row>
    <row r="1010" spans="1:16" s="1" customFormat="1" ht="119.1" customHeight="1" outlineLevel="3" x14ac:dyDescent="0.2">
      <c r="A1010" s="11">
        <v>198578</v>
      </c>
      <c r="B1010" s="12" t="s">
        <v>1939</v>
      </c>
      <c r="C1010" s="12" t="s">
        <v>22</v>
      </c>
      <c r="D1010" s="13"/>
      <c r="E1010" s="14" t="s">
        <v>1940</v>
      </c>
      <c r="F1010" s="15" t="s">
        <v>24</v>
      </c>
      <c r="G1010" s="16"/>
      <c r="H1010" s="36">
        <v>948.2</v>
      </c>
      <c r="I1010" s="36">
        <f>ROUND(H1010-(H1010*I2/100),2)</f>
        <v>948.2</v>
      </c>
      <c r="J1010" s="17">
        <v>64</v>
      </c>
      <c r="K1010" s="18"/>
      <c r="L1010" s="18"/>
      <c r="M1010" s="20"/>
      <c r="N1010" s="37">
        <f t="shared" si="44"/>
        <v>0</v>
      </c>
      <c r="O1010" s="21">
        <v>0.6</v>
      </c>
      <c r="P1010" s="22">
        <v>2.9120000000000001E-3</v>
      </c>
    </row>
    <row r="1011" spans="1:16" s="1" customFormat="1" ht="119.1" customHeight="1" outlineLevel="3" x14ac:dyDescent="0.2">
      <c r="A1011" s="11">
        <v>183334</v>
      </c>
      <c r="B1011" s="12" t="s">
        <v>1941</v>
      </c>
      <c r="C1011" s="12" t="s">
        <v>22</v>
      </c>
      <c r="D1011" s="13"/>
      <c r="E1011" s="14" t="s">
        <v>1942</v>
      </c>
      <c r="F1011" s="15" t="s">
        <v>24</v>
      </c>
      <c r="G1011" s="16"/>
      <c r="H1011" s="36">
        <v>519</v>
      </c>
      <c r="I1011" s="36">
        <f>ROUND(H1011-(H1011*I2/100),2)</f>
        <v>519</v>
      </c>
      <c r="J1011" s="17">
        <v>181</v>
      </c>
      <c r="K1011" s="18"/>
      <c r="L1011" s="18"/>
      <c r="M1011" s="20"/>
      <c r="N1011" s="37">
        <f t="shared" si="44"/>
        <v>0</v>
      </c>
      <c r="O1011" s="21">
        <v>0.46300000000000002</v>
      </c>
      <c r="P1011" s="22">
        <v>3.8760000000000001E-3</v>
      </c>
    </row>
    <row r="1012" spans="1:16" s="1" customFormat="1" ht="119.1" customHeight="1" outlineLevel="3" x14ac:dyDescent="0.2">
      <c r="A1012" s="11">
        <v>183335</v>
      </c>
      <c r="B1012" s="12" t="s">
        <v>1943</v>
      </c>
      <c r="C1012" s="12" t="s">
        <v>22</v>
      </c>
      <c r="D1012" s="13"/>
      <c r="E1012" s="14" t="s">
        <v>1944</v>
      </c>
      <c r="F1012" s="15" t="s">
        <v>24</v>
      </c>
      <c r="G1012" s="16"/>
      <c r="H1012" s="36">
        <v>874.1</v>
      </c>
      <c r="I1012" s="36">
        <f>ROUND(H1012-(H1012*I2/100),2)</f>
        <v>874.1</v>
      </c>
      <c r="J1012" s="17">
        <v>105</v>
      </c>
      <c r="K1012" s="18"/>
      <c r="L1012" s="18"/>
      <c r="M1012" s="20"/>
      <c r="N1012" s="37">
        <f t="shared" si="44"/>
        <v>0</v>
      </c>
      <c r="O1012" s="21">
        <v>0.85499999999999998</v>
      </c>
      <c r="P1012" s="22">
        <v>5.4120000000000001E-3</v>
      </c>
    </row>
    <row r="1013" spans="1:16" s="1" customFormat="1" ht="119.1" customHeight="1" outlineLevel="3" x14ac:dyDescent="0.2">
      <c r="A1013" s="11">
        <v>187896</v>
      </c>
      <c r="B1013" s="12" t="s">
        <v>1945</v>
      </c>
      <c r="C1013" s="12" t="s">
        <v>22</v>
      </c>
      <c r="D1013" s="13"/>
      <c r="E1013" s="14" t="s">
        <v>1946</v>
      </c>
      <c r="F1013" s="15" t="s">
        <v>24</v>
      </c>
      <c r="G1013" s="16"/>
      <c r="H1013" s="36">
        <v>4356.3</v>
      </c>
      <c r="I1013" s="36">
        <f>ROUND(H1013-(H1013*I2/100),2)</f>
        <v>4356.3</v>
      </c>
      <c r="J1013" s="17">
        <v>26</v>
      </c>
      <c r="K1013" s="18"/>
      <c r="L1013" s="18"/>
      <c r="M1013" s="20"/>
      <c r="N1013" s="37">
        <f t="shared" si="44"/>
        <v>0</v>
      </c>
      <c r="O1013" s="21">
        <v>3.3250000000000002</v>
      </c>
      <c r="P1013" s="22">
        <v>3.8429999999999999E-2</v>
      </c>
    </row>
    <row r="1014" spans="1:16" s="1" customFormat="1" ht="119.1" customHeight="1" outlineLevel="3" x14ac:dyDescent="0.2">
      <c r="A1014" s="11">
        <v>190522</v>
      </c>
      <c r="B1014" s="12" t="s">
        <v>1947</v>
      </c>
      <c r="C1014" s="12" t="s">
        <v>22</v>
      </c>
      <c r="D1014" s="13"/>
      <c r="E1014" s="14" t="s">
        <v>1948</v>
      </c>
      <c r="F1014" s="15" t="s">
        <v>24</v>
      </c>
      <c r="G1014" s="16"/>
      <c r="H1014" s="36">
        <v>2667.7</v>
      </c>
      <c r="I1014" s="36">
        <f>ROUND(H1014-(H1014*I2/100),2)</f>
        <v>2667.7</v>
      </c>
      <c r="J1014" s="17">
        <v>10</v>
      </c>
      <c r="K1014" s="18"/>
      <c r="L1014" s="18"/>
      <c r="M1014" s="20"/>
      <c r="N1014" s="37">
        <f t="shared" si="44"/>
        <v>0</v>
      </c>
      <c r="O1014" s="21">
        <v>1.3</v>
      </c>
      <c r="P1014" s="22">
        <v>3.6707999999999998E-2</v>
      </c>
    </row>
    <row r="1015" spans="1:16" s="1" customFormat="1" ht="119.1" customHeight="1" outlineLevel="3" x14ac:dyDescent="0.2">
      <c r="A1015" s="11">
        <v>200314</v>
      </c>
      <c r="B1015" s="12" t="s">
        <v>1949</v>
      </c>
      <c r="C1015" s="12" t="s">
        <v>50</v>
      </c>
      <c r="D1015" s="13"/>
      <c r="E1015" s="14" t="s">
        <v>1950</v>
      </c>
      <c r="F1015" s="15" t="s">
        <v>24</v>
      </c>
      <c r="G1015" s="16"/>
      <c r="H1015" s="36">
        <v>674.4</v>
      </c>
      <c r="I1015" s="36">
        <f>ROUND(H1015-(H1015*I2/100),2)</f>
        <v>674.4</v>
      </c>
      <c r="J1015" s="17">
        <v>182</v>
      </c>
      <c r="K1015" s="18"/>
      <c r="L1015" s="18"/>
      <c r="M1015" s="20"/>
      <c r="N1015" s="37">
        <f t="shared" si="44"/>
        <v>0</v>
      </c>
      <c r="O1015" s="21">
        <v>0.8</v>
      </c>
      <c r="P1015" s="22">
        <v>8.0000000000000002E-3</v>
      </c>
    </row>
    <row r="1016" spans="1:16" s="1" customFormat="1" ht="119.1" customHeight="1" outlineLevel="3" x14ac:dyDescent="0.2">
      <c r="A1016" s="11">
        <v>196304</v>
      </c>
      <c r="B1016" s="12" t="s">
        <v>1951</v>
      </c>
      <c r="C1016" s="12" t="s">
        <v>50</v>
      </c>
      <c r="D1016" s="13"/>
      <c r="E1016" s="14" t="s">
        <v>1952</v>
      </c>
      <c r="F1016" s="15" t="s">
        <v>24</v>
      </c>
      <c r="G1016" s="16"/>
      <c r="H1016" s="36">
        <v>2273.1999999999998</v>
      </c>
      <c r="I1016" s="36">
        <f>ROUND(H1016-(H1016*I2/100),2)</f>
        <v>2273.1999999999998</v>
      </c>
      <c r="J1016" s="17">
        <v>4</v>
      </c>
      <c r="K1016" s="18"/>
      <c r="L1016" s="18"/>
      <c r="M1016" s="20"/>
      <c r="N1016" s="37">
        <f t="shared" si="44"/>
        <v>0</v>
      </c>
      <c r="O1016" s="21">
        <v>2.6</v>
      </c>
      <c r="P1016" s="22">
        <v>1.9349999999999999E-2</v>
      </c>
    </row>
    <row r="1017" spans="1:16" s="1" customFormat="1" ht="119.1" customHeight="1" outlineLevel="3" x14ac:dyDescent="0.2">
      <c r="A1017" s="11">
        <v>217037</v>
      </c>
      <c r="B1017" s="12" t="s">
        <v>1953</v>
      </c>
      <c r="C1017" s="12" t="s">
        <v>50</v>
      </c>
      <c r="D1017" s="13"/>
      <c r="E1017" s="14" t="s">
        <v>1954</v>
      </c>
      <c r="F1017" s="15" t="s">
        <v>24</v>
      </c>
      <c r="G1017" s="16"/>
      <c r="H1017" s="36">
        <v>1109.8</v>
      </c>
      <c r="I1017" s="36">
        <f>ROUND(H1017-(H1017*I2/100),2)</f>
        <v>1109.8</v>
      </c>
      <c r="J1017" s="17">
        <v>109</v>
      </c>
      <c r="K1017" s="18"/>
      <c r="L1017" s="18"/>
      <c r="M1017" s="20"/>
      <c r="N1017" s="37">
        <f t="shared" si="44"/>
        <v>0</v>
      </c>
      <c r="O1017" s="21">
        <v>1.329</v>
      </c>
      <c r="P1017" s="22">
        <v>1.7850000000000001E-2</v>
      </c>
    </row>
    <row r="1018" spans="1:16" s="1" customFormat="1" ht="119.1" customHeight="1" outlineLevel="3" x14ac:dyDescent="0.2">
      <c r="A1018" s="11">
        <v>196633</v>
      </c>
      <c r="B1018" s="12" t="s">
        <v>1955</v>
      </c>
      <c r="C1018" s="12" t="s">
        <v>50</v>
      </c>
      <c r="D1018" s="13"/>
      <c r="E1018" s="14" t="s">
        <v>1956</v>
      </c>
      <c r="F1018" s="15" t="s">
        <v>24</v>
      </c>
      <c r="G1018" s="16"/>
      <c r="H1018" s="36">
        <v>3703.3</v>
      </c>
      <c r="I1018" s="36">
        <f>ROUND(H1018-(H1018*I2/100),2)</f>
        <v>3703.3</v>
      </c>
      <c r="J1018" s="17">
        <v>4</v>
      </c>
      <c r="K1018" s="18"/>
      <c r="L1018" s="18"/>
      <c r="M1018" s="20"/>
      <c r="N1018" s="37">
        <f t="shared" si="44"/>
        <v>0</v>
      </c>
      <c r="O1018" s="21">
        <v>4.5999999999999996</v>
      </c>
      <c r="P1018" s="22">
        <v>3.3813000000000003E-2</v>
      </c>
    </row>
    <row r="1019" spans="1:16" s="1" customFormat="1" ht="119.1" customHeight="1" outlineLevel="3" x14ac:dyDescent="0.2">
      <c r="A1019" s="11">
        <v>200315</v>
      </c>
      <c r="B1019" s="12" t="s">
        <v>1957</v>
      </c>
      <c r="C1019" s="12" t="s">
        <v>50</v>
      </c>
      <c r="D1019" s="13"/>
      <c r="E1019" s="14" t="s">
        <v>1958</v>
      </c>
      <c r="F1019" s="15" t="s">
        <v>24</v>
      </c>
      <c r="G1019" s="16"/>
      <c r="H1019" s="36">
        <v>1698.9</v>
      </c>
      <c r="I1019" s="36">
        <f>ROUND(H1019-(H1019*I2/100),2)</f>
        <v>1698.9</v>
      </c>
      <c r="J1019" s="17">
        <v>153</v>
      </c>
      <c r="K1019" s="18"/>
      <c r="L1019" s="18"/>
      <c r="M1019" s="20"/>
      <c r="N1019" s="37">
        <f t="shared" si="44"/>
        <v>0</v>
      </c>
      <c r="O1019" s="21">
        <v>2.09</v>
      </c>
      <c r="P1019" s="22">
        <v>3.5000000000000003E-2</v>
      </c>
    </row>
    <row r="1020" spans="1:16" s="1" customFormat="1" ht="119.1" customHeight="1" outlineLevel="3" x14ac:dyDescent="0.2">
      <c r="A1020" s="11">
        <v>196303</v>
      </c>
      <c r="B1020" s="12" t="s">
        <v>1959</v>
      </c>
      <c r="C1020" s="12" t="s">
        <v>50</v>
      </c>
      <c r="D1020" s="13"/>
      <c r="E1020" s="14" t="s">
        <v>1960</v>
      </c>
      <c r="F1020" s="15" t="s">
        <v>24</v>
      </c>
      <c r="G1020" s="16"/>
      <c r="H1020" s="36">
        <v>2375.6</v>
      </c>
      <c r="I1020" s="36">
        <f>ROUND(H1020-(H1020*I2/100),2)</f>
        <v>2375.6</v>
      </c>
      <c r="J1020" s="17">
        <v>12</v>
      </c>
      <c r="K1020" s="18"/>
      <c r="L1020" s="18"/>
      <c r="M1020" s="20"/>
      <c r="N1020" s="37">
        <f t="shared" si="44"/>
        <v>0</v>
      </c>
      <c r="O1020" s="21">
        <v>3.1</v>
      </c>
      <c r="P1020" s="22">
        <v>2.12E-2</v>
      </c>
    </row>
    <row r="1021" spans="1:16" s="1" customFormat="1" ht="119.1" customHeight="1" outlineLevel="3" x14ac:dyDescent="0.2">
      <c r="A1021" s="11">
        <v>212252</v>
      </c>
      <c r="B1021" s="12" t="s">
        <v>1961</v>
      </c>
      <c r="C1021" s="12" t="s">
        <v>50</v>
      </c>
      <c r="D1021" s="13"/>
      <c r="E1021" s="14" t="s">
        <v>1962</v>
      </c>
      <c r="F1021" s="15" t="s">
        <v>24</v>
      </c>
      <c r="G1021" s="16"/>
      <c r="H1021" s="36">
        <v>3236</v>
      </c>
      <c r="I1021" s="36">
        <f>ROUND(H1021-(H1021*I2/100),2)</f>
        <v>3236</v>
      </c>
      <c r="J1021" s="17">
        <v>81</v>
      </c>
      <c r="K1021" s="18"/>
      <c r="L1021" s="18"/>
      <c r="M1021" s="20"/>
      <c r="N1021" s="37">
        <f t="shared" si="44"/>
        <v>0</v>
      </c>
      <c r="O1021" s="21">
        <v>0.3</v>
      </c>
      <c r="P1021" s="22">
        <v>2E-3</v>
      </c>
    </row>
    <row r="1022" spans="1:16" s="1" customFormat="1" ht="119.1" customHeight="1" outlineLevel="3" x14ac:dyDescent="0.2">
      <c r="A1022" s="11">
        <v>187887</v>
      </c>
      <c r="B1022" s="12" t="s">
        <v>1963</v>
      </c>
      <c r="C1022" s="12" t="s">
        <v>22</v>
      </c>
      <c r="D1022" s="13"/>
      <c r="E1022" s="14" t="s">
        <v>1964</v>
      </c>
      <c r="F1022" s="15" t="s">
        <v>24</v>
      </c>
      <c r="G1022" s="16"/>
      <c r="H1022" s="36">
        <v>1410.6</v>
      </c>
      <c r="I1022" s="36">
        <f>ROUND(H1022-(H1022*I2/100),2)</f>
        <v>1410.6</v>
      </c>
      <c r="J1022" s="17">
        <v>81</v>
      </c>
      <c r="K1022" s="18"/>
      <c r="L1022" s="18"/>
      <c r="M1022" s="20"/>
      <c r="N1022" s="37">
        <f t="shared" si="44"/>
        <v>0</v>
      </c>
      <c r="O1022" s="21">
        <v>1.425</v>
      </c>
      <c r="P1022" s="22">
        <v>1.9664000000000001E-2</v>
      </c>
    </row>
    <row r="1023" spans="1:16" s="1" customFormat="1" ht="119.1" customHeight="1" outlineLevel="3" x14ac:dyDescent="0.2">
      <c r="A1023" s="11">
        <v>189560</v>
      </c>
      <c r="B1023" s="12" t="s">
        <v>1965</v>
      </c>
      <c r="C1023" s="12" t="s">
        <v>22</v>
      </c>
      <c r="D1023" s="13"/>
      <c r="E1023" s="14" t="s">
        <v>1966</v>
      </c>
      <c r="F1023" s="15" t="s">
        <v>24</v>
      </c>
      <c r="G1023" s="16"/>
      <c r="H1023" s="36">
        <v>2230.1</v>
      </c>
      <c r="I1023" s="36">
        <f>ROUND(H1023-(H1023*I2/100),2)</f>
        <v>2230.1</v>
      </c>
      <c r="J1023" s="17">
        <v>123</v>
      </c>
      <c r="K1023" s="18"/>
      <c r="L1023" s="18"/>
      <c r="M1023" s="20"/>
      <c r="N1023" s="37">
        <f t="shared" si="44"/>
        <v>0</v>
      </c>
      <c r="O1023" s="21">
        <v>2.1880000000000002</v>
      </c>
      <c r="P1023" s="22">
        <v>3.9246000000000003E-2</v>
      </c>
    </row>
    <row r="1024" spans="1:16" s="1" customFormat="1" ht="119.1" customHeight="1" outlineLevel="3" x14ac:dyDescent="0.2">
      <c r="A1024" s="11">
        <v>188681</v>
      </c>
      <c r="B1024" s="12" t="s">
        <v>1967</v>
      </c>
      <c r="C1024" s="12" t="s">
        <v>22</v>
      </c>
      <c r="D1024" s="13"/>
      <c r="E1024" s="14" t="s">
        <v>1968</v>
      </c>
      <c r="F1024" s="15" t="s">
        <v>24</v>
      </c>
      <c r="G1024" s="16"/>
      <c r="H1024" s="36">
        <v>2166.8000000000002</v>
      </c>
      <c r="I1024" s="36">
        <f>ROUND(H1024-(H1024*I2/100),2)</f>
        <v>2166.8000000000002</v>
      </c>
      <c r="J1024" s="17">
        <v>134</v>
      </c>
      <c r="K1024" s="18"/>
      <c r="L1024" s="18"/>
      <c r="M1024" s="20"/>
      <c r="N1024" s="37">
        <f t="shared" si="44"/>
        <v>0</v>
      </c>
      <c r="O1024" s="21">
        <v>2.15</v>
      </c>
      <c r="P1024" s="22">
        <v>3.9246000000000003E-2</v>
      </c>
    </row>
    <row r="1025" spans="1:16" s="8" customFormat="1" ht="15.95" customHeight="1" outlineLevel="1" x14ac:dyDescent="0.25">
      <c r="A1025" s="9"/>
      <c r="B1025" s="10"/>
      <c r="C1025" s="10"/>
      <c r="D1025" s="10" t="s">
        <v>1969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</row>
    <row r="1026" spans="1:16" s="8" customFormat="1" ht="15.95" customHeight="1" outlineLevel="2" x14ac:dyDescent="0.25">
      <c r="A1026" s="9"/>
      <c r="B1026" s="10"/>
      <c r="C1026" s="10"/>
      <c r="D1026" s="10" t="s">
        <v>1970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</row>
    <row r="1027" spans="1:16" s="1" customFormat="1" ht="119.1" customHeight="1" outlineLevel="3" x14ac:dyDescent="0.2">
      <c r="A1027" s="11">
        <v>206792</v>
      </c>
      <c r="B1027" s="12" t="s">
        <v>1971</v>
      </c>
      <c r="C1027" s="12" t="s">
        <v>22</v>
      </c>
      <c r="D1027" s="13"/>
      <c r="E1027" s="14" t="s">
        <v>1972</v>
      </c>
      <c r="F1027" s="15" t="s">
        <v>24</v>
      </c>
      <c r="G1027" s="16"/>
      <c r="H1027" s="36">
        <v>1386.6</v>
      </c>
      <c r="I1027" s="36">
        <f>ROUND(H1027-(H1027*I2/100),2)</f>
        <v>1386.6</v>
      </c>
      <c r="J1027" s="17">
        <v>59</v>
      </c>
      <c r="K1027" s="18"/>
      <c r="L1027" s="18"/>
      <c r="M1027" s="20"/>
      <c r="N1027" s="37">
        <f t="shared" ref="N1027:N1038" si="45">I1027*M1027</f>
        <v>0</v>
      </c>
      <c r="O1027" s="21">
        <v>0.2</v>
      </c>
      <c r="P1027" s="22">
        <v>4.0000000000000002E-4</v>
      </c>
    </row>
    <row r="1028" spans="1:16" s="1" customFormat="1" ht="119.1" customHeight="1" outlineLevel="3" x14ac:dyDescent="0.2">
      <c r="A1028" s="11">
        <v>175312</v>
      </c>
      <c r="B1028" s="12" t="s">
        <v>1973</v>
      </c>
      <c r="C1028" s="12" t="s">
        <v>22</v>
      </c>
      <c r="D1028" s="13"/>
      <c r="E1028" s="14" t="s">
        <v>1974</v>
      </c>
      <c r="F1028" s="15" t="s">
        <v>24</v>
      </c>
      <c r="G1028" s="16"/>
      <c r="H1028" s="36">
        <v>1753</v>
      </c>
      <c r="I1028" s="36">
        <f>ROUND(H1028-(H1028*I2/100),2)</f>
        <v>1753</v>
      </c>
      <c r="J1028" s="17">
        <v>164</v>
      </c>
      <c r="K1028" s="18"/>
      <c r="L1028" s="18"/>
      <c r="M1028" s="20"/>
      <c r="N1028" s="37">
        <f t="shared" si="45"/>
        <v>0</v>
      </c>
      <c r="O1028" s="21">
        <v>0.38500000000000001</v>
      </c>
      <c r="P1028" s="22">
        <v>5.31E-4</v>
      </c>
    </row>
    <row r="1029" spans="1:16" s="1" customFormat="1" ht="119.1" customHeight="1" outlineLevel="3" x14ac:dyDescent="0.2">
      <c r="A1029" s="11">
        <v>199795</v>
      </c>
      <c r="B1029" s="12" t="s">
        <v>1975</v>
      </c>
      <c r="C1029" s="12" t="s">
        <v>22</v>
      </c>
      <c r="D1029" s="13"/>
      <c r="E1029" s="14" t="s">
        <v>1976</v>
      </c>
      <c r="F1029" s="15" t="s">
        <v>24</v>
      </c>
      <c r="G1029" s="16"/>
      <c r="H1029" s="36">
        <v>3587.5</v>
      </c>
      <c r="I1029" s="36">
        <f>ROUND(H1029-(H1029*I2/100),2)</f>
        <v>3587.5</v>
      </c>
      <c r="J1029" s="17">
        <v>79</v>
      </c>
      <c r="K1029" s="18"/>
      <c r="L1029" s="18"/>
      <c r="M1029" s="20"/>
      <c r="N1029" s="37">
        <f t="shared" si="45"/>
        <v>0</v>
      </c>
      <c r="O1029" s="21">
        <v>0.65600000000000003</v>
      </c>
      <c r="P1029" s="22">
        <v>6.7199999999999996E-4</v>
      </c>
    </row>
    <row r="1030" spans="1:16" s="1" customFormat="1" ht="119.1" customHeight="1" outlineLevel="3" x14ac:dyDescent="0.2">
      <c r="A1030" s="11">
        <v>199629</v>
      </c>
      <c r="B1030" s="12" t="s">
        <v>1977</v>
      </c>
      <c r="C1030" s="12" t="s">
        <v>22</v>
      </c>
      <c r="D1030" s="13"/>
      <c r="E1030" s="14" t="s">
        <v>1978</v>
      </c>
      <c r="F1030" s="15" t="s">
        <v>24</v>
      </c>
      <c r="G1030" s="16"/>
      <c r="H1030" s="36">
        <v>4485.8</v>
      </c>
      <c r="I1030" s="36">
        <f>ROUND(H1030-(H1030*I2/100),2)</f>
        <v>4485.8</v>
      </c>
      <c r="J1030" s="17">
        <v>124</v>
      </c>
      <c r="K1030" s="18"/>
      <c r="L1030" s="18"/>
      <c r="M1030" s="20"/>
      <c r="N1030" s="37">
        <f t="shared" si="45"/>
        <v>0</v>
      </c>
      <c r="O1030" s="21">
        <v>1.1000000000000001</v>
      </c>
      <c r="P1030" s="22">
        <v>1.2600000000000001E-3</v>
      </c>
    </row>
    <row r="1031" spans="1:16" s="1" customFormat="1" ht="119.1" customHeight="1" outlineLevel="3" x14ac:dyDescent="0.2">
      <c r="A1031" s="11">
        <v>199630</v>
      </c>
      <c r="B1031" s="12" t="s">
        <v>1979</v>
      </c>
      <c r="C1031" s="12" t="s">
        <v>22</v>
      </c>
      <c r="D1031" s="13"/>
      <c r="E1031" s="14" t="s">
        <v>1980</v>
      </c>
      <c r="F1031" s="15" t="s">
        <v>24</v>
      </c>
      <c r="G1031" s="16"/>
      <c r="H1031" s="36">
        <v>5874</v>
      </c>
      <c r="I1031" s="36">
        <f>ROUND(H1031-(H1031*I2/100),2)</f>
        <v>5874</v>
      </c>
      <c r="J1031" s="17">
        <v>26</v>
      </c>
      <c r="K1031" s="18"/>
      <c r="L1031" s="18"/>
      <c r="M1031" s="20"/>
      <c r="N1031" s="37">
        <f t="shared" si="45"/>
        <v>0</v>
      </c>
      <c r="O1031" s="21">
        <v>1.1000000000000001</v>
      </c>
      <c r="P1031" s="22">
        <v>1.2600000000000001E-3</v>
      </c>
    </row>
    <row r="1032" spans="1:16" s="1" customFormat="1" ht="119.1" customHeight="1" outlineLevel="3" x14ac:dyDescent="0.2">
      <c r="A1032" s="11">
        <v>216161</v>
      </c>
      <c r="B1032" s="12" t="s">
        <v>1981</v>
      </c>
      <c r="C1032" s="12" t="s">
        <v>22</v>
      </c>
      <c r="D1032" s="13"/>
      <c r="E1032" s="14" t="s">
        <v>1982</v>
      </c>
      <c r="F1032" s="15" t="s">
        <v>24</v>
      </c>
      <c r="G1032" s="16"/>
      <c r="H1032" s="36">
        <v>48200.5</v>
      </c>
      <c r="I1032" s="36">
        <f>ROUND(H1032-(H1032*I2/100),2)</f>
        <v>48200.5</v>
      </c>
      <c r="J1032" s="17">
        <v>26</v>
      </c>
      <c r="K1032" s="18"/>
      <c r="L1032" s="18"/>
      <c r="M1032" s="20"/>
      <c r="N1032" s="37">
        <f t="shared" si="45"/>
        <v>0</v>
      </c>
      <c r="O1032" s="21">
        <v>10</v>
      </c>
      <c r="P1032" s="22">
        <v>5.0659999999999997E-2</v>
      </c>
    </row>
    <row r="1033" spans="1:16" s="1" customFormat="1" ht="119.1" customHeight="1" outlineLevel="3" x14ac:dyDescent="0.2">
      <c r="A1033" s="11">
        <v>219309</v>
      </c>
      <c r="B1033" s="12" t="s">
        <v>1983</v>
      </c>
      <c r="C1033" s="12" t="s">
        <v>50</v>
      </c>
      <c r="D1033" s="13"/>
      <c r="E1033" s="14" t="s">
        <v>1984</v>
      </c>
      <c r="F1033" s="15" t="s">
        <v>24</v>
      </c>
      <c r="G1033" s="16"/>
      <c r="H1033" s="36">
        <v>1229</v>
      </c>
      <c r="I1033" s="36">
        <f>ROUND(H1033-(H1033*I2/100),2)</f>
        <v>1229</v>
      </c>
      <c r="J1033" s="17">
        <v>19</v>
      </c>
      <c r="K1033" s="18"/>
      <c r="L1033" s="18"/>
      <c r="M1033" s="20"/>
      <c r="N1033" s="37">
        <f t="shared" si="45"/>
        <v>0</v>
      </c>
      <c r="O1033" s="21">
        <v>0.34499999999999997</v>
      </c>
      <c r="P1033" s="22">
        <v>5.2800000000000004E-4</v>
      </c>
    </row>
    <row r="1034" spans="1:16" s="1" customFormat="1" ht="119.1" customHeight="1" outlineLevel="3" x14ac:dyDescent="0.2">
      <c r="A1034" s="11">
        <v>219310</v>
      </c>
      <c r="B1034" s="12" t="s">
        <v>1985</v>
      </c>
      <c r="C1034" s="12" t="s">
        <v>50</v>
      </c>
      <c r="D1034" s="13"/>
      <c r="E1034" s="14" t="s">
        <v>1986</v>
      </c>
      <c r="F1034" s="15" t="s">
        <v>24</v>
      </c>
      <c r="G1034" s="16"/>
      <c r="H1034" s="36">
        <v>2200.6</v>
      </c>
      <c r="I1034" s="36">
        <f>ROUND(H1034-(H1034*I2/100),2)</f>
        <v>2200.6</v>
      </c>
      <c r="J1034" s="17">
        <v>9</v>
      </c>
      <c r="K1034" s="18"/>
      <c r="L1034" s="18"/>
      <c r="M1034" s="20"/>
      <c r="N1034" s="37">
        <f t="shared" si="45"/>
        <v>0</v>
      </c>
      <c r="O1034" s="21">
        <v>0.66500000000000004</v>
      </c>
      <c r="P1034" s="22">
        <v>5.3600000000000002E-4</v>
      </c>
    </row>
    <row r="1035" spans="1:16" s="1" customFormat="1" ht="119.1" customHeight="1" outlineLevel="3" x14ac:dyDescent="0.2">
      <c r="A1035" s="11">
        <v>219280</v>
      </c>
      <c r="B1035" s="12" t="s">
        <v>1987</v>
      </c>
      <c r="C1035" s="12" t="s">
        <v>22</v>
      </c>
      <c r="D1035" s="13"/>
      <c r="E1035" s="14" t="s">
        <v>1988</v>
      </c>
      <c r="F1035" s="15" t="s">
        <v>24</v>
      </c>
      <c r="G1035" s="16"/>
      <c r="H1035" s="36">
        <v>6498.1</v>
      </c>
      <c r="I1035" s="36">
        <f>ROUND(H1035-(H1035*I2/100),2)</f>
        <v>6498.1</v>
      </c>
      <c r="J1035" s="17">
        <v>44</v>
      </c>
      <c r="K1035" s="18"/>
      <c r="L1035" s="18"/>
      <c r="M1035" s="20"/>
      <c r="N1035" s="37">
        <f t="shared" si="45"/>
        <v>0</v>
      </c>
      <c r="O1035" s="21">
        <v>0.2</v>
      </c>
      <c r="P1035" s="22">
        <v>2E-3</v>
      </c>
    </row>
    <row r="1036" spans="1:16" s="1" customFormat="1" ht="119.1" customHeight="1" outlineLevel="3" x14ac:dyDescent="0.2">
      <c r="A1036" s="11">
        <v>195736</v>
      </c>
      <c r="B1036" s="12" t="s">
        <v>1989</v>
      </c>
      <c r="C1036" s="12" t="s">
        <v>22</v>
      </c>
      <c r="D1036" s="13"/>
      <c r="E1036" s="14" t="s">
        <v>1990</v>
      </c>
      <c r="F1036" s="15" t="s">
        <v>24</v>
      </c>
      <c r="G1036" s="16"/>
      <c r="H1036" s="36">
        <v>8795.7999999999993</v>
      </c>
      <c r="I1036" s="36">
        <f>ROUND(H1036-(H1036*I2/100),2)</f>
        <v>8795.7999999999993</v>
      </c>
      <c r="J1036" s="17">
        <v>75</v>
      </c>
      <c r="K1036" s="18"/>
      <c r="L1036" s="18"/>
      <c r="M1036" s="20"/>
      <c r="N1036" s="37">
        <f t="shared" si="45"/>
        <v>0</v>
      </c>
      <c r="O1036" s="21">
        <v>2.5</v>
      </c>
      <c r="P1036" s="22">
        <v>9.6959999999999998E-3</v>
      </c>
    </row>
    <row r="1037" spans="1:16" s="1" customFormat="1" ht="119.1" customHeight="1" outlineLevel="3" x14ac:dyDescent="0.2">
      <c r="A1037" s="11">
        <v>219281</v>
      </c>
      <c r="B1037" s="12" t="s">
        <v>1991</v>
      </c>
      <c r="C1037" s="12" t="s">
        <v>22</v>
      </c>
      <c r="D1037" s="13"/>
      <c r="E1037" s="14" t="s">
        <v>1992</v>
      </c>
      <c r="F1037" s="15" t="s">
        <v>24</v>
      </c>
      <c r="G1037" s="16"/>
      <c r="H1037" s="36">
        <v>7483.7</v>
      </c>
      <c r="I1037" s="36">
        <f>ROUND(H1037-(H1037*I2/100),2)</f>
        <v>7483.7</v>
      </c>
      <c r="J1037" s="17">
        <v>88</v>
      </c>
      <c r="K1037" s="18"/>
      <c r="L1037" s="18"/>
      <c r="M1037" s="20"/>
      <c r="N1037" s="37">
        <f t="shared" si="45"/>
        <v>0</v>
      </c>
      <c r="O1037" s="21">
        <v>0.2</v>
      </c>
      <c r="P1037" s="22">
        <v>2E-3</v>
      </c>
    </row>
    <row r="1038" spans="1:16" s="1" customFormat="1" ht="119.1" customHeight="1" outlineLevel="3" x14ac:dyDescent="0.2">
      <c r="A1038" s="11">
        <v>192950</v>
      </c>
      <c r="B1038" s="12" t="s">
        <v>1993</v>
      </c>
      <c r="C1038" s="12" t="s">
        <v>22</v>
      </c>
      <c r="D1038" s="13"/>
      <c r="E1038" s="14" t="s">
        <v>1994</v>
      </c>
      <c r="F1038" s="15" t="s">
        <v>24</v>
      </c>
      <c r="G1038" s="16"/>
      <c r="H1038" s="36">
        <v>13585</v>
      </c>
      <c r="I1038" s="36">
        <f>ROUND(H1038-(H1038*I2/100),2)</f>
        <v>13585</v>
      </c>
      <c r="J1038" s="17">
        <v>15</v>
      </c>
      <c r="K1038" s="18"/>
      <c r="L1038" s="18"/>
      <c r="M1038" s="20"/>
      <c r="N1038" s="37">
        <f t="shared" si="45"/>
        <v>0</v>
      </c>
      <c r="O1038" s="21">
        <v>4.72</v>
      </c>
      <c r="P1038" s="22">
        <v>1.6271000000000001E-2</v>
      </c>
    </row>
    <row r="1039" spans="1:16" s="8" customFormat="1" ht="15.95" customHeight="1" outlineLevel="2" x14ac:dyDescent="0.25">
      <c r="A1039" s="9"/>
      <c r="B1039" s="10"/>
      <c r="C1039" s="10"/>
      <c r="D1039" s="10" t="s">
        <v>48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</row>
    <row r="1040" spans="1:16" s="1" customFormat="1" ht="119.1" customHeight="1" outlineLevel="3" x14ac:dyDescent="0.2">
      <c r="A1040" s="11">
        <v>195302</v>
      </c>
      <c r="B1040" s="12" t="s">
        <v>1995</v>
      </c>
      <c r="C1040" s="12" t="s">
        <v>22</v>
      </c>
      <c r="D1040" s="13"/>
      <c r="E1040" s="14" t="s">
        <v>1996</v>
      </c>
      <c r="F1040" s="15" t="s">
        <v>24</v>
      </c>
      <c r="G1040" s="16"/>
      <c r="H1040" s="36">
        <v>2243.5</v>
      </c>
      <c r="I1040" s="36">
        <f>ROUND(H1040-(H1040*I2/100),2)</f>
        <v>2243.5</v>
      </c>
      <c r="J1040" s="17">
        <v>8</v>
      </c>
      <c r="K1040" s="18"/>
      <c r="L1040" s="18"/>
      <c r="M1040" s="20"/>
      <c r="N1040" s="37">
        <f t="shared" ref="N1040:N1047" si="46">I1040*M1040</f>
        <v>0</v>
      </c>
      <c r="O1040" s="21">
        <v>1.85</v>
      </c>
      <c r="P1040" s="22">
        <v>9.8519999999999996E-3</v>
      </c>
    </row>
    <row r="1041" spans="1:16" s="1" customFormat="1" ht="119.1" customHeight="1" outlineLevel="3" x14ac:dyDescent="0.2">
      <c r="A1041" s="11">
        <v>216158</v>
      </c>
      <c r="B1041" s="12" t="s">
        <v>1997</v>
      </c>
      <c r="C1041" s="12" t="s">
        <v>22</v>
      </c>
      <c r="D1041" s="13"/>
      <c r="E1041" s="14" t="s">
        <v>1998</v>
      </c>
      <c r="F1041" s="15" t="s">
        <v>24</v>
      </c>
      <c r="G1041" s="16"/>
      <c r="H1041" s="36">
        <v>6158.6</v>
      </c>
      <c r="I1041" s="36">
        <f>ROUND(H1041-(H1041*I2/100),2)</f>
        <v>6158.6</v>
      </c>
      <c r="J1041" s="17">
        <v>6</v>
      </c>
      <c r="K1041" s="18"/>
      <c r="L1041" s="18"/>
      <c r="M1041" s="20"/>
      <c r="N1041" s="37">
        <f t="shared" si="46"/>
        <v>0</v>
      </c>
      <c r="O1041" s="21">
        <v>2.8</v>
      </c>
      <c r="P1041" s="22">
        <v>1.512E-2</v>
      </c>
    </row>
    <row r="1042" spans="1:16" s="1" customFormat="1" ht="119.1" customHeight="1" outlineLevel="3" x14ac:dyDescent="0.2">
      <c r="A1042" s="11">
        <v>184351</v>
      </c>
      <c r="B1042" s="12" t="s">
        <v>1999</v>
      </c>
      <c r="C1042" s="12" t="s">
        <v>22</v>
      </c>
      <c r="D1042" s="13"/>
      <c r="E1042" s="14" t="s">
        <v>2000</v>
      </c>
      <c r="F1042" s="15" t="s">
        <v>24</v>
      </c>
      <c r="G1042" s="16"/>
      <c r="H1042" s="36">
        <v>6296.1</v>
      </c>
      <c r="I1042" s="36">
        <f>ROUND(H1042-(H1042*I2/100),2)</f>
        <v>6296.1</v>
      </c>
      <c r="J1042" s="17">
        <v>52</v>
      </c>
      <c r="K1042" s="18"/>
      <c r="L1042" s="18"/>
      <c r="M1042" s="20"/>
      <c r="N1042" s="37">
        <f t="shared" si="46"/>
        <v>0</v>
      </c>
      <c r="O1042" s="21">
        <v>2.5</v>
      </c>
      <c r="P1042" s="22">
        <v>9.4079999999999997E-3</v>
      </c>
    </row>
    <row r="1043" spans="1:16" s="1" customFormat="1" ht="119.1" customHeight="1" outlineLevel="3" x14ac:dyDescent="0.2">
      <c r="A1043" s="11">
        <v>219279</v>
      </c>
      <c r="B1043" s="12" t="s">
        <v>2001</v>
      </c>
      <c r="C1043" s="12" t="s">
        <v>22</v>
      </c>
      <c r="D1043" s="13"/>
      <c r="E1043" s="14" t="s">
        <v>2002</v>
      </c>
      <c r="F1043" s="15" t="s">
        <v>24</v>
      </c>
      <c r="G1043" s="16"/>
      <c r="H1043" s="36">
        <v>1916.9</v>
      </c>
      <c r="I1043" s="36">
        <f>ROUND(H1043-(H1043*I2/100),2)</f>
        <v>1916.9</v>
      </c>
      <c r="J1043" s="17">
        <v>29</v>
      </c>
      <c r="K1043" s="18"/>
      <c r="L1043" s="18"/>
      <c r="M1043" s="20"/>
      <c r="N1043" s="37">
        <f t="shared" si="46"/>
        <v>0</v>
      </c>
      <c r="O1043" s="21">
        <v>0.2</v>
      </c>
      <c r="P1043" s="22">
        <v>2E-3</v>
      </c>
    </row>
    <row r="1044" spans="1:16" s="1" customFormat="1" ht="119.1" customHeight="1" outlineLevel="3" x14ac:dyDescent="0.2">
      <c r="A1044" s="11">
        <v>219976</v>
      </c>
      <c r="B1044" s="12" t="s">
        <v>2003</v>
      </c>
      <c r="C1044" s="12" t="s">
        <v>50</v>
      </c>
      <c r="D1044" s="28"/>
      <c r="E1044" s="29" t="s">
        <v>2004</v>
      </c>
      <c r="F1044" s="30" t="s">
        <v>24</v>
      </c>
      <c r="G1044" s="31" t="s">
        <v>209</v>
      </c>
      <c r="H1044" s="36">
        <v>3010.1</v>
      </c>
      <c r="I1044" s="36">
        <f>ROUND(H1044-(H1044*I2/100),2)</f>
        <v>3010.1</v>
      </c>
      <c r="J1044" s="17">
        <v>14</v>
      </c>
      <c r="K1044" s="18"/>
      <c r="L1044" s="18"/>
      <c r="M1044" s="20"/>
      <c r="N1044" s="37">
        <f t="shared" si="46"/>
        <v>0</v>
      </c>
      <c r="O1044" s="21">
        <v>1.95</v>
      </c>
      <c r="P1044" s="22">
        <v>8.6400000000000001E-3</v>
      </c>
    </row>
    <row r="1045" spans="1:16" s="1" customFormat="1" ht="119.1" customHeight="1" outlineLevel="3" x14ac:dyDescent="0.2">
      <c r="A1045" s="11">
        <v>219978</v>
      </c>
      <c r="B1045" s="12" t="s">
        <v>2005</v>
      </c>
      <c r="C1045" s="12" t="s">
        <v>50</v>
      </c>
      <c r="D1045" s="28"/>
      <c r="E1045" s="29" t="s">
        <v>2006</v>
      </c>
      <c r="F1045" s="30" t="s">
        <v>24</v>
      </c>
      <c r="G1045" s="31" t="s">
        <v>209</v>
      </c>
      <c r="H1045" s="36">
        <v>4771.2</v>
      </c>
      <c r="I1045" s="36">
        <f>ROUND(H1045-(H1045*I2/100),2)</f>
        <v>4771.2</v>
      </c>
      <c r="J1045" s="17">
        <v>47</v>
      </c>
      <c r="K1045" s="18"/>
      <c r="L1045" s="18"/>
      <c r="M1045" s="20"/>
      <c r="N1045" s="37">
        <f t="shared" si="46"/>
        <v>0</v>
      </c>
      <c r="O1045" s="21">
        <v>2.4500000000000002</v>
      </c>
      <c r="P1045" s="22">
        <v>2.4243000000000001E-2</v>
      </c>
    </row>
    <row r="1046" spans="1:16" s="1" customFormat="1" ht="119.1" customHeight="1" outlineLevel="3" x14ac:dyDescent="0.2">
      <c r="A1046" s="11">
        <v>199645</v>
      </c>
      <c r="B1046" s="12" t="s">
        <v>2007</v>
      </c>
      <c r="C1046" s="12" t="s">
        <v>22</v>
      </c>
      <c r="D1046" s="13"/>
      <c r="E1046" s="14" t="s">
        <v>2008</v>
      </c>
      <c r="F1046" s="15" t="s">
        <v>24</v>
      </c>
      <c r="G1046" s="16"/>
      <c r="H1046" s="36">
        <v>3997.6</v>
      </c>
      <c r="I1046" s="36">
        <f>ROUND(H1046-(H1046*I2/100),2)</f>
        <v>3997.6</v>
      </c>
      <c r="J1046" s="17">
        <v>20</v>
      </c>
      <c r="K1046" s="18"/>
      <c r="L1046" s="18"/>
      <c r="M1046" s="20"/>
      <c r="N1046" s="37">
        <f t="shared" si="46"/>
        <v>0</v>
      </c>
      <c r="O1046" s="21">
        <v>2.5</v>
      </c>
      <c r="P1046" s="22">
        <v>9.4079999999999997E-3</v>
      </c>
    </row>
    <row r="1047" spans="1:16" s="1" customFormat="1" ht="119.1" customHeight="1" outlineLevel="3" x14ac:dyDescent="0.2">
      <c r="A1047" s="11">
        <v>212568</v>
      </c>
      <c r="B1047" s="12" t="s">
        <v>2009</v>
      </c>
      <c r="C1047" s="12" t="s">
        <v>22</v>
      </c>
      <c r="D1047" s="13"/>
      <c r="E1047" s="14" t="s">
        <v>2010</v>
      </c>
      <c r="F1047" s="15" t="s">
        <v>24</v>
      </c>
      <c r="G1047" s="16"/>
      <c r="H1047" s="36">
        <v>5679.7</v>
      </c>
      <c r="I1047" s="36">
        <f>ROUND(H1047-(H1047*I2/100),2)</f>
        <v>5679.7</v>
      </c>
      <c r="J1047" s="17">
        <v>15</v>
      </c>
      <c r="K1047" s="18"/>
      <c r="L1047" s="18"/>
      <c r="M1047" s="20"/>
      <c r="N1047" s="37">
        <f t="shared" si="46"/>
        <v>0</v>
      </c>
      <c r="O1047" s="21">
        <v>0.32</v>
      </c>
      <c r="P1047" s="22">
        <v>1.8350000000000002E-2</v>
      </c>
    </row>
    <row r="1048" spans="1:16" s="8" customFormat="1" ht="15.95" customHeight="1" outlineLevel="2" x14ac:dyDescent="0.25">
      <c r="A1048" s="9"/>
      <c r="B1048" s="10"/>
      <c r="C1048" s="10"/>
      <c r="D1048" s="10" t="s">
        <v>2011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</row>
    <row r="1049" spans="1:16" s="1" customFormat="1" ht="119.1" customHeight="1" outlineLevel="3" x14ac:dyDescent="0.2">
      <c r="A1049" s="11">
        <v>213118</v>
      </c>
      <c r="B1049" s="12" t="s">
        <v>2012</v>
      </c>
      <c r="C1049" s="12" t="s">
        <v>22</v>
      </c>
      <c r="D1049" s="13"/>
      <c r="E1049" s="14" t="s">
        <v>2013</v>
      </c>
      <c r="F1049" s="15" t="s">
        <v>24</v>
      </c>
      <c r="G1049" s="16"/>
      <c r="H1049" s="36">
        <v>13.1</v>
      </c>
      <c r="I1049" s="36">
        <f>ROUND(H1049-(H1049*I2/100),2)</f>
        <v>13.1</v>
      </c>
      <c r="J1049" s="17">
        <v>17</v>
      </c>
      <c r="K1049" s="18"/>
      <c r="L1049" s="18"/>
      <c r="M1049" s="20"/>
      <c r="N1049" s="37">
        <f t="shared" ref="N1049:N1080" si="47">I1049*M1049</f>
        <v>0</v>
      </c>
      <c r="O1049" s="21">
        <v>0.1</v>
      </c>
      <c r="P1049" s="22">
        <v>1.0000000000000001E-5</v>
      </c>
    </row>
    <row r="1050" spans="1:16" s="1" customFormat="1" ht="119.1" customHeight="1" outlineLevel="3" x14ac:dyDescent="0.2">
      <c r="A1050" s="11">
        <v>213125</v>
      </c>
      <c r="B1050" s="12" t="s">
        <v>2014</v>
      </c>
      <c r="C1050" s="12" t="s">
        <v>22</v>
      </c>
      <c r="D1050" s="13"/>
      <c r="E1050" s="14" t="s">
        <v>2015</v>
      </c>
      <c r="F1050" s="15" t="s">
        <v>24</v>
      </c>
      <c r="G1050" s="16"/>
      <c r="H1050" s="36">
        <v>26.1</v>
      </c>
      <c r="I1050" s="36">
        <f>ROUND(H1050-(H1050*I2/100),2)</f>
        <v>26.1</v>
      </c>
      <c r="J1050" s="17">
        <v>10</v>
      </c>
      <c r="K1050" s="18"/>
      <c r="L1050" s="18"/>
      <c r="M1050" s="20"/>
      <c r="N1050" s="37">
        <f t="shared" si="47"/>
        <v>0</v>
      </c>
      <c r="O1050" s="21">
        <v>0.1</v>
      </c>
      <c r="P1050" s="22">
        <v>1.0000000000000001E-5</v>
      </c>
    </row>
    <row r="1051" spans="1:16" s="1" customFormat="1" ht="119.1" customHeight="1" outlineLevel="3" x14ac:dyDescent="0.2">
      <c r="A1051" s="11">
        <v>213112</v>
      </c>
      <c r="B1051" s="12" t="s">
        <v>2016</v>
      </c>
      <c r="C1051" s="12" t="s">
        <v>22</v>
      </c>
      <c r="D1051" s="13"/>
      <c r="E1051" s="14" t="s">
        <v>2017</v>
      </c>
      <c r="F1051" s="15" t="s">
        <v>24</v>
      </c>
      <c r="G1051" s="16"/>
      <c r="H1051" s="36">
        <v>342.7</v>
      </c>
      <c r="I1051" s="36">
        <f>ROUND(H1051-(H1051*I2/100),2)</f>
        <v>342.7</v>
      </c>
      <c r="J1051" s="17">
        <v>20</v>
      </c>
      <c r="K1051" s="18"/>
      <c r="L1051" s="18"/>
      <c r="M1051" s="20"/>
      <c r="N1051" s="37">
        <f t="shared" si="47"/>
        <v>0</v>
      </c>
      <c r="O1051" s="21">
        <v>0.1</v>
      </c>
      <c r="P1051" s="22">
        <v>1.0000000000000001E-5</v>
      </c>
    </row>
    <row r="1052" spans="1:16" s="1" customFormat="1" ht="119.1" customHeight="1" outlineLevel="3" x14ac:dyDescent="0.2">
      <c r="A1052" s="11">
        <v>194446</v>
      </c>
      <c r="B1052" s="12" t="s">
        <v>2018</v>
      </c>
      <c r="C1052" s="12" t="s">
        <v>22</v>
      </c>
      <c r="D1052" s="13"/>
      <c r="E1052" s="14" t="s">
        <v>2019</v>
      </c>
      <c r="F1052" s="15" t="s">
        <v>24</v>
      </c>
      <c r="G1052" s="16"/>
      <c r="H1052" s="36">
        <v>332.7</v>
      </c>
      <c r="I1052" s="36">
        <f>ROUND(H1052-(H1052*I2/100),2)</f>
        <v>332.7</v>
      </c>
      <c r="J1052" s="17">
        <v>1</v>
      </c>
      <c r="K1052" s="18"/>
      <c r="L1052" s="18"/>
      <c r="M1052" s="20"/>
      <c r="N1052" s="37">
        <f t="shared" si="47"/>
        <v>0</v>
      </c>
      <c r="O1052" s="21">
        <v>0.2</v>
      </c>
      <c r="P1052" s="22">
        <v>2E-3</v>
      </c>
    </row>
    <row r="1053" spans="1:16" s="1" customFormat="1" ht="119.1" customHeight="1" outlineLevel="3" x14ac:dyDescent="0.2">
      <c r="A1053" s="11">
        <v>194450</v>
      </c>
      <c r="B1053" s="12" t="s">
        <v>2020</v>
      </c>
      <c r="C1053" s="12" t="s">
        <v>22</v>
      </c>
      <c r="D1053" s="13"/>
      <c r="E1053" s="14" t="s">
        <v>2021</v>
      </c>
      <c r="F1053" s="15" t="s">
        <v>24</v>
      </c>
      <c r="G1053" s="16"/>
      <c r="H1053" s="36">
        <v>315.2</v>
      </c>
      <c r="I1053" s="36">
        <f>ROUND(H1053-(H1053*I2/100),2)</f>
        <v>315.2</v>
      </c>
      <c r="J1053" s="17">
        <v>1</v>
      </c>
      <c r="K1053" s="18"/>
      <c r="L1053" s="18"/>
      <c r="M1053" s="20"/>
      <c r="N1053" s="37">
        <f t="shared" si="47"/>
        <v>0</v>
      </c>
      <c r="O1053" s="21">
        <v>0.2</v>
      </c>
      <c r="P1053" s="22">
        <v>2E-3</v>
      </c>
    </row>
    <row r="1054" spans="1:16" s="1" customFormat="1" ht="119.1" customHeight="1" outlineLevel="3" x14ac:dyDescent="0.2">
      <c r="A1054" s="11">
        <v>194463</v>
      </c>
      <c r="B1054" s="12" t="s">
        <v>2022</v>
      </c>
      <c r="C1054" s="12" t="s">
        <v>22</v>
      </c>
      <c r="D1054" s="13"/>
      <c r="E1054" s="14" t="s">
        <v>2023</v>
      </c>
      <c r="F1054" s="15" t="s">
        <v>24</v>
      </c>
      <c r="G1054" s="16"/>
      <c r="H1054" s="36">
        <v>58.2</v>
      </c>
      <c r="I1054" s="36">
        <f>ROUND(H1054-(H1054*I2/100),2)</f>
        <v>58.2</v>
      </c>
      <c r="J1054" s="17">
        <v>2</v>
      </c>
      <c r="K1054" s="18"/>
      <c r="L1054" s="18"/>
      <c r="M1054" s="20"/>
      <c r="N1054" s="37">
        <f t="shared" si="47"/>
        <v>0</v>
      </c>
      <c r="O1054" s="21">
        <v>0.2</v>
      </c>
      <c r="P1054" s="22">
        <v>2E-3</v>
      </c>
    </row>
    <row r="1055" spans="1:16" s="1" customFormat="1" ht="119.1" customHeight="1" outlineLevel="3" x14ac:dyDescent="0.2">
      <c r="A1055" s="11">
        <v>194408</v>
      </c>
      <c r="B1055" s="12" t="s">
        <v>2024</v>
      </c>
      <c r="C1055" s="12" t="s">
        <v>22</v>
      </c>
      <c r="D1055" s="13"/>
      <c r="E1055" s="14" t="s">
        <v>2025</v>
      </c>
      <c r="F1055" s="15" t="s">
        <v>24</v>
      </c>
      <c r="G1055" s="16"/>
      <c r="H1055" s="36">
        <v>3409.7</v>
      </c>
      <c r="I1055" s="36">
        <f>ROUND(H1055-(H1055*I2/100),2)</f>
        <v>3409.7</v>
      </c>
      <c r="J1055" s="17">
        <v>2</v>
      </c>
      <c r="K1055" s="18"/>
      <c r="L1055" s="18"/>
      <c r="M1055" s="20"/>
      <c r="N1055" s="37">
        <f t="shared" si="47"/>
        <v>0</v>
      </c>
      <c r="O1055" s="21">
        <v>0.2</v>
      </c>
      <c r="P1055" s="22">
        <v>2E-3</v>
      </c>
    </row>
    <row r="1056" spans="1:16" s="1" customFormat="1" ht="119.1" customHeight="1" outlineLevel="3" x14ac:dyDescent="0.2">
      <c r="A1056" s="11">
        <v>194417</v>
      </c>
      <c r="B1056" s="12" t="s">
        <v>2026</v>
      </c>
      <c r="C1056" s="12" t="s">
        <v>22</v>
      </c>
      <c r="D1056" s="13"/>
      <c r="E1056" s="14" t="s">
        <v>2027</v>
      </c>
      <c r="F1056" s="15" t="s">
        <v>24</v>
      </c>
      <c r="G1056" s="16"/>
      <c r="H1056" s="36">
        <v>996.7</v>
      </c>
      <c r="I1056" s="36">
        <f>ROUND(H1056-(H1056*I2/100),2)</f>
        <v>996.7</v>
      </c>
      <c r="J1056" s="17">
        <v>2</v>
      </c>
      <c r="K1056" s="18"/>
      <c r="L1056" s="18"/>
      <c r="M1056" s="20"/>
      <c r="N1056" s="37">
        <f t="shared" si="47"/>
        <v>0</v>
      </c>
      <c r="O1056" s="21">
        <v>0.2</v>
      </c>
      <c r="P1056" s="22">
        <v>2E-3</v>
      </c>
    </row>
    <row r="1057" spans="1:16" s="1" customFormat="1" ht="119.1" customHeight="1" outlineLevel="3" x14ac:dyDescent="0.2">
      <c r="A1057" s="11">
        <v>213123</v>
      </c>
      <c r="B1057" s="12" t="s">
        <v>2028</v>
      </c>
      <c r="C1057" s="12" t="s">
        <v>22</v>
      </c>
      <c r="D1057" s="13"/>
      <c r="E1057" s="14" t="s">
        <v>2029</v>
      </c>
      <c r="F1057" s="15" t="s">
        <v>24</v>
      </c>
      <c r="G1057" s="16"/>
      <c r="H1057" s="36">
        <v>2297.9</v>
      </c>
      <c r="I1057" s="36">
        <f>ROUND(H1057-(H1057*I2/100),2)</f>
        <v>2297.9</v>
      </c>
      <c r="J1057" s="17">
        <v>25</v>
      </c>
      <c r="K1057" s="18"/>
      <c r="L1057" s="18"/>
      <c r="M1057" s="20"/>
      <c r="N1057" s="37">
        <f t="shared" si="47"/>
        <v>0</v>
      </c>
      <c r="O1057" s="21">
        <v>0.1</v>
      </c>
      <c r="P1057" s="22">
        <v>1.0000000000000001E-5</v>
      </c>
    </row>
    <row r="1058" spans="1:16" s="1" customFormat="1" ht="119.1" customHeight="1" outlineLevel="3" x14ac:dyDescent="0.2">
      <c r="A1058" s="11">
        <v>194443</v>
      </c>
      <c r="B1058" s="12" t="s">
        <v>2030</v>
      </c>
      <c r="C1058" s="12" t="s">
        <v>22</v>
      </c>
      <c r="D1058" s="13"/>
      <c r="E1058" s="14" t="s">
        <v>2031</v>
      </c>
      <c r="F1058" s="15" t="s">
        <v>24</v>
      </c>
      <c r="G1058" s="16"/>
      <c r="H1058" s="36">
        <v>1579.8</v>
      </c>
      <c r="I1058" s="36">
        <f>ROUND(H1058-(H1058*I2/100),2)</f>
        <v>1579.8</v>
      </c>
      <c r="J1058" s="17">
        <v>1</v>
      </c>
      <c r="K1058" s="18"/>
      <c r="L1058" s="18"/>
      <c r="M1058" s="20"/>
      <c r="N1058" s="37">
        <f t="shared" si="47"/>
        <v>0</v>
      </c>
      <c r="O1058" s="21">
        <v>0.2</v>
      </c>
      <c r="P1058" s="22">
        <v>2E-3</v>
      </c>
    </row>
    <row r="1059" spans="1:16" s="1" customFormat="1" ht="119.1" customHeight="1" outlineLevel="3" x14ac:dyDescent="0.2">
      <c r="A1059" s="11">
        <v>194444</v>
      </c>
      <c r="B1059" s="12" t="s">
        <v>2032</v>
      </c>
      <c r="C1059" s="12" t="s">
        <v>22</v>
      </c>
      <c r="D1059" s="13"/>
      <c r="E1059" s="14" t="s">
        <v>2033</v>
      </c>
      <c r="F1059" s="15" t="s">
        <v>24</v>
      </c>
      <c r="G1059" s="16"/>
      <c r="H1059" s="36">
        <v>2454.8000000000002</v>
      </c>
      <c r="I1059" s="36">
        <f>ROUND(H1059-(H1059*I2/100),2)</f>
        <v>2454.8000000000002</v>
      </c>
      <c r="J1059" s="17">
        <v>1</v>
      </c>
      <c r="K1059" s="18"/>
      <c r="L1059" s="18"/>
      <c r="M1059" s="20"/>
      <c r="N1059" s="37">
        <f t="shared" si="47"/>
        <v>0</v>
      </c>
      <c r="O1059" s="21">
        <v>0.2</v>
      </c>
      <c r="P1059" s="22">
        <v>2E-3</v>
      </c>
    </row>
    <row r="1060" spans="1:16" s="1" customFormat="1" ht="119.1" customHeight="1" outlineLevel="3" x14ac:dyDescent="0.2">
      <c r="A1060" s="11">
        <v>194445</v>
      </c>
      <c r="B1060" s="12" t="s">
        <v>2034</v>
      </c>
      <c r="C1060" s="12" t="s">
        <v>22</v>
      </c>
      <c r="D1060" s="13"/>
      <c r="E1060" s="14" t="s">
        <v>2035</v>
      </c>
      <c r="F1060" s="15" t="s">
        <v>24</v>
      </c>
      <c r="G1060" s="16"/>
      <c r="H1060" s="36">
        <v>539.70000000000005</v>
      </c>
      <c r="I1060" s="36">
        <f>ROUND(H1060-(H1060*I2/100),2)</f>
        <v>539.70000000000005</v>
      </c>
      <c r="J1060" s="17">
        <v>3</v>
      </c>
      <c r="K1060" s="18"/>
      <c r="L1060" s="18"/>
      <c r="M1060" s="20"/>
      <c r="N1060" s="37">
        <f t="shared" si="47"/>
        <v>0</v>
      </c>
      <c r="O1060" s="21">
        <v>0.2</v>
      </c>
      <c r="P1060" s="22">
        <v>2E-3</v>
      </c>
    </row>
    <row r="1061" spans="1:16" s="1" customFormat="1" ht="119.1" customHeight="1" outlineLevel="3" x14ac:dyDescent="0.2">
      <c r="A1061" s="11">
        <v>213127</v>
      </c>
      <c r="B1061" s="12" t="s">
        <v>2036</v>
      </c>
      <c r="C1061" s="12" t="s">
        <v>22</v>
      </c>
      <c r="D1061" s="13"/>
      <c r="E1061" s="14" t="s">
        <v>2037</v>
      </c>
      <c r="F1061" s="15" t="s">
        <v>24</v>
      </c>
      <c r="G1061" s="16"/>
      <c r="H1061" s="36">
        <v>346</v>
      </c>
      <c r="I1061" s="36">
        <f>ROUND(H1061-(H1061*I2/100),2)</f>
        <v>346</v>
      </c>
      <c r="J1061" s="17">
        <v>2</v>
      </c>
      <c r="K1061" s="18"/>
      <c r="L1061" s="18"/>
      <c r="M1061" s="20"/>
      <c r="N1061" s="37">
        <f t="shared" si="47"/>
        <v>0</v>
      </c>
      <c r="O1061" s="21">
        <v>0.1</v>
      </c>
      <c r="P1061" s="22">
        <v>1.0000000000000001E-5</v>
      </c>
    </row>
    <row r="1062" spans="1:16" s="1" customFormat="1" ht="119.1" customHeight="1" outlineLevel="3" x14ac:dyDescent="0.2">
      <c r="A1062" s="11">
        <v>194393</v>
      </c>
      <c r="B1062" s="12" t="s">
        <v>2038</v>
      </c>
      <c r="C1062" s="12" t="s">
        <v>22</v>
      </c>
      <c r="D1062" s="13"/>
      <c r="E1062" s="14" t="s">
        <v>2039</v>
      </c>
      <c r="F1062" s="15" t="s">
        <v>24</v>
      </c>
      <c r="G1062" s="16"/>
      <c r="H1062" s="36">
        <v>248.9</v>
      </c>
      <c r="I1062" s="36">
        <f>ROUND(H1062-(H1062*I2/100),2)</f>
        <v>248.9</v>
      </c>
      <c r="J1062" s="17">
        <v>1</v>
      </c>
      <c r="K1062" s="18"/>
      <c r="L1062" s="18"/>
      <c r="M1062" s="20"/>
      <c r="N1062" s="37">
        <f t="shared" si="47"/>
        <v>0</v>
      </c>
      <c r="O1062" s="21">
        <v>0.2</v>
      </c>
      <c r="P1062" s="22">
        <v>2E-3</v>
      </c>
    </row>
    <row r="1063" spans="1:16" s="1" customFormat="1" ht="119.1" customHeight="1" outlineLevel="3" x14ac:dyDescent="0.2">
      <c r="A1063" s="11">
        <v>194415</v>
      </c>
      <c r="B1063" s="12" t="s">
        <v>2040</v>
      </c>
      <c r="C1063" s="12" t="s">
        <v>22</v>
      </c>
      <c r="D1063" s="13"/>
      <c r="E1063" s="14" t="s">
        <v>2041</v>
      </c>
      <c r="F1063" s="15" t="s">
        <v>24</v>
      </c>
      <c r="G1063" s="16"/>
      <c r="H1063" s="36">
        <v>3737.1</v>
      </c>
      <c r="I1063" s="36">
        <f>ROUND(H1063-(H1063*I2/100),2)</f>
        <v>3737.1</v>
      </c>
      <c r="J1063" s="17">
        <v>2</v>
      </c>
      <c r="K1063" s="18"/>
      <c r="L1063" s="18"/>
      <c r="M1063" s="20"/>
      <c r="N1063" s="37">
        <f t="shared" si="47"/>
        <v>0</v>
      </c>
      <c r="O1063" s="21">
        <v>0.2</v>
      </c>
      <c r="P1063" s="22">
        <v>2E-3</v>
      </c>
    </row>
    <row r="1064" spans="1:16" s="1" customFormat="1" ht="119.1" customHeight="1" outlineLevel="3" x14ac:dyDescent="0.2">
      <c r="A1064" s="11">
        <v>194457</v>
      </c>
      <c r="B1064" s="12" t="s">
        <v>2042</v>
      </c>
      <c r="C1064" s="12" t="s">
        <v>22</v>
      </c>
      <c r="D1064" s="13"/>
      <c r="E1064" s="14" t="s">
        <v>2043</v>
      </c>
      <c r="F1064" s="15" t="s">
        <v>24</v>
      </c>
      <c r="G1064" s="16"/>
      <c r="H1064" s="36">
        <v>289.5</v>
      </c>
      <c r="I1064" s="36">
        <f>ROUND(H1064-(H1064*I2/100),2)</f>
        <v>289.5</v>
      </c>
      <c r="J1064" s="17">
        <v>2</v>
      </c>
      <c r="K1064" s="18"/>
      <c r="L1064" s="18"/>
      <c r="M1064" s="20"/>
      <c r="N1064" s="37">
        <f t="shared" si="47"/>
        <v>0</v>
      </c>
      <c r="O1064" s="21">
        <v>0.2</v>
      </c>
      <c r="P1064" s="22">
        <v>2E-3</v>
      </c>
    </row>
    <row r="1065" spans="1:16" s="1" customFormat="1" ht="119.1" customHeight="1" outlineLevel="3" x14ac:dyDescent="0.2">
      <c r="A1065" s="11">
        <v>194391</v>
      </c>
      <c r="B1065" s="12" t="s">
        <v>2044</v>
      </c>
      <c r="C1065" s="12" t="s">
        <v>22</v>
      </c>
      <c r="D1065" s="13"/>
      <c r="E1065" s="14" t="s">
        <v>2045</v>
      </c>
      <c r="F1065" s="15" t="s">
        <v>24</v>
      </c>
      <c r="G1065" s="16"/>
      <c r="H1065" s="36">
        <v>208.3</v>
      </c>
      <c r="I1065" s="36">
        <f>ROUND(H1065-(H1065*I2/100),2)</f>
        <v>208.3</v>
      </c>
      <c r="J1065" s="17">
        <v>1</v>
      </c>
      <c r="K1065" s="18"/>
      <c r="L1065" s="18"/>
      <c r="M1065" s="20"/>
      <c r="N1065" s="37">
        <f t="shared" si="47"/>
        <v>0</v>
      </c>
      <c r="O1065" s="21">
        <v>0.2</v>
      </c>
      <c r="P1065" s="22">
        <v>2E-3</v>
      </c>
    </row>
    <row r="1066" spans="1:16" s="1" customFormat="1" ht="119.1" customHeight="1" outlineLevel="3" x14ac:dyDescent="0.2">
      <c r="A1066" s="11">
        <v>194411</v>
      </c>
      <c r="B1066" s="12" t="s">
        <v>2046</v>
      </c>
      <c r="C1066" s="12" t="s">
        <v>22</v>
      </c>
      <c r="D1066" s="13"/>
      <c r="E1066" s="14" t="s">
        <v>2047</v>
      </c>
      <c r="F1066" s="15" t="s">
        <v>24</v>
      </c>
      <c r="G1066" s="16"/>
      <c r="H1066" s="36">
        <v>69</v>
      </c>
      <c r="I1066" s="36">
        <f>ROUND(H1066-(H1066*I2/100),2)</f>
        <v>69</v>
      </c>
      <c r="J1066" s="17">
        <v>2</v>
      </c>
      <c r="K1066" s="18"/>
      <c r="L1066" s="18"/>
      <c r="M1066" s="20"/>
      <c r="N1066" s="37">
        <f t="shared" si="47"/>
        <v>0</v>
      </c>
      <c r="O1066" s="21">
        <v>0.2</v>
      </c>
      <c r="P1066" s="22">
        <v>2E-3</v>
      </c>
    </row>
    <row r="1067" spans="1:16" s="1" customFormat="1" ht="119.1" customHeight="1" outlineLevel="3" x14ac:dyDescent="0.2">
      <c r="A1067" s="11">
        <v>194424</v>
      </c>
      <c r="B1067" s="12" t="s">
        <v>2048</v>
      </c>
      <c r="C1067" s="12" t="s">
        <v>22</v>
      </c>
      <c r="D1067" s="13"/>
      <c r="E1067" s="14" t="s">
        <v>2049</v>
      </c>
      <c r="F1067" s="15" t="s">
        <v>24</v>
      </c>
      <c r="G1067" s="16"/>
      <c r="H1067" s="36">
        <v>712.8</v>
      </c>
      <c r="I1067" s="36">
        <f>ROUND(H1067-(H1067*I2/100),2)</f>
        <v>712.8</v>
      </c>
      <c r="J1067" s="17">
        <v>2</v>
      </c>
      <c r="K1067" s="18"/>
      <c r="L1067" s="18"/>
      <c r="M1067" s="20"/>
      <c r="N1067" s="37">
        <f t="shared" si="47"/>
        <v>0</v>
      </c>
      <c r="O1067" s="21">
        <v>0.2</v>
      </c>
      <c r="P1067" s="22">
        <v>2E-3</v>
      </c>
    </row>
    <row r="1068" spans="1:16" s="1" customFormat="1" ht="119.1" customHeight="1" outlineLevel="3" x14ac:dyDescent="0.2">
      <c r="A1068" s="11">
        <v>194538</v>
      </c>
      <c r="B1068" s="12" t="s">
        <v>2050</v>
      </c>
      <c r="C1068" s="12" t="s">
        <v>22</v>
      </c>
      <c r="D1068" s="13"/>
      <c r="E1068" s="14" t="s">
        <v>2051</v>
      </c>
      <c r="F1068" s="15" t="s">
        <v>24</v>
      </c>
      <c r="G1068" s="16"/>
      <c r="H1068" s="36">
        <v>1999.2</v>
      </c>
      <c r="I1068" s="36">
        <f>ROUND(H1068-(H1068*I2/100),2)</f>
        <v>1999.2</v>
      </c>
      <c r="J1068" s="17">
        <v>1</v>
      </c>
      <c r="K1068" s="18"/>
      <c r="L1068" s="18"/>
      <c r="M1068" s="20"/>
      <c r="N1068" s="37">
        <f t="shared" si="47"/>
        <v>0</v>
      </c>
      <c r="O1068" s="21">
        <v>0.1</v>
      </c>
      <c r="P1068" s="22">
        <v>1E-4</v>
      </c>
    </row>
    <row r="1069" spans="1:16" s="1" customFormat="1" ht="119.1" customHeight="1" outlineLevel="3" x14ac:dyDescent="0.2">
      <c r="A1069" s="11">
        <v>194432</v>
      </c>
      <c r="B1069" s="12" t="s">
        <v>2052</v>
      </c>
      <c r="C1069" s="12" t="s">
        <v>22</v>
      </c>
      <c r="D1069" s="13"/>
      <c r="E1069" s="14" t="s">
        <v>2053</v>
      </c>
      <c r="F1069" s="15" t="s">
        <v>24</v>
      </c>
      <c r="G1069" s="16"/>
      <c r="H1069" s="36">
        <v>455.7</v>
      </c>
      <c r="I1069" s="36">
        <f>ROUND(H1069-(H1069*I2/100),2)</f>
        <v>455.7</v>
      </c>
      <c r="J1069" s="17">
        <v>1</v>
      </c>
      <c r="K1069" s="18"/>
      <c r="L1069" s="18"/>
      <c r="M1069" s="20"/>
      <c r="N1069" s="37">
        <f t="shared" si="47"/>
        <v>0</v>
      </c>
      <c r="O1069" s="21">
        <v>0.2</v>
      </c>
      <c r="P1069" s="22">
        <v>2E-3</v>
      </c>
    </row>
    <row r="1070" spans="1:16" s="1" customFormat="1" ht="119.1" customHeight="1" outlineLevel="3" x14ac:dyDescent="0.2">
      <c r="A1070" s="11">
        <v>194430</v>
      </c>
      <c r="B1070" s="12" t="s">
        <v>2054</v>
      </c>
      <c r="C1070" s="12" t="s">
        <v>22</v>
      </c>
      <c r="D1070" s="13"/>
      <c r="E1070" s="14" t="s">
        <v>2055</v>
      </c>
      <c r="F1070" s="15" t="s">
        <v>24</v>
      </c>
      <c r="G1070" s="16"/>
      <c r="H1070" s="36">
        <v>181.3</v>
      </c>
      <c r="I1070" s="36">
        <f>ROUND(H1070-(H1070*I2/100),2)</f>
        <v>181.3</v>
      </c>
      <c r="J1070" s="17">
        <v>2</v>
      </c>
      <c r="K1070" s="18"/>
      <c r="L1070" s="18"/>
      <c r="M1070" s="20"/>
      <c r="N1070" s="37">
        <f t="shared" si="47"/>
        <v>0</v>
      </c>
      <c r="O1070" s="21">
        <v>0.2</v>
      </c>
      <c r="P1070" s="22">
        <v>2E-3</v>
      </c>
    </row>
    <row r="1071" spans="1:16" s="1" customFormat="1" ht="119.1" customHeight="1" outlineLevel="3" x14ac:dyDescent="0.2">
      <c r="A1071" s="11">
        <v>194452</v>
      </c>
      <c r="B1071" s="12" t="s">
        <v>2056</v>
      </c>
      <c r="C1071" s="12" t="s">
        <v>22</v>
      </c>
      <c r="D1071" s="13"/>
      <c r="E1071" s="14" t="s">
        <v>2057</v>
      </c>
      <c r="F1071" s="15" t="s">
        <v>24</v>
      </c>
      <c r="G1071" s="16"/>
      <c r="H1071" s="36">
        <v>221.9</v>
      </c>
      <c r="I1071" s="36">
        <f>ROUND(H1071-(H1071*I2/100),2)</f>
        <v>221.9</v>
      </c>
      <c r="J1071" s="17">
        <v>1</v>
      </c>
      <c r="K1071" s="18"/>
      <c r="L1071" s="18"/>
      <c r="M1071" s="20"/>
      <c r="N1071" s="37">
        <f t="shared" si="47"/>
        <v>0</v>
      </c>
      <c r="O1071" s="21">
        <v>0.2</v>
      </c>
      <c r="P1071" s="22">
        <v>2E-3</v>
      </c>
    </row>
    <row r="1072" spans="1:16" s="1" customFormat="1" ht="119.1" customHeight="1" outlineLevel="3" x14ac:dyDescent="0.2">
      <c r="A1072" s="11">
        <v>194448</v>
      </c>
      <c r="B1072" s="12" t="s">
        <v>2058</v>
      </c>
      <c r="C1072" s="12" t="s">
        <v>22</v>
      </c>
      <c r="D1072" s="13"/>
      <c r="E1072" s="14" t="s">
        <v>2059</v>
      </c>
      <c r="F1072" s="15" t="s">
        <v>24</v>
      </c>
      <c r="G1072" s="16"/>
      <c r="H1072" s="36">
        <v>956.2</v>
      </c>
      <c r="I1072" s="36">
        <f>ROUND(H1072-(H1072*I2/100),2)</f>
        <v>956.2</v>
      </c>
      <c r="J1072" s="17">
        <v>1</v>
      </c>
      <c r="K1072" s="18"/>
      <c r="L1072" s="18"/>
      <c r="M1072" s="20"/>
      <c r="N1072" s="37">
        <f t="shared" si="47"/>
        <v>0</v>
      </c>
      <c r="O1072" s="21">
        <v>0.2</v>
      </c>
      <c r="P1072" s="22">
        <v>2E-3</v>
      </c>
    </row>
    <row r="1073" spans="1:16" s="1" customFormat="1" ht="119.1" customHeight="1" outlineLevel="3" x14ac:dyDescent="0.2">
      <c r="A1073" s="11">
        <v>194406</v>
      </c>
      <c r="B1073" s="12" t="s">
        <v>2060</v>
      </c>
      <c r="C1073" s="12" t="s">
        <v>22</v>
      </c>
      <c r="D1073" s="13"/>
      <c r="E1073" s="14" t="s">
        <v>2061</v>
      </c>
      <c r="F1073" s="15" t="s">
        <v>24</v>
      </c>
      <c r="G1073" s="16"/>
      <c r="H1073" s="36">
        <v>1057.5999999999999</v>
      </c>
      <c r="I1073" s="36">
        <f>ROUND(H1073-(H1073*I2/100),2)</f>
        <v>1057.5999999999999</v>
      </c>
      <c r="J1073" s="17">
        <v>2</v>
      </c>
      <c r="K1073" s="18"/>
      <c r="L1073" s="18"/>
      <c r="M1073" s="20"/>
      <c r="N1073" s="37">
        <f t="shared" si="47"/>
        <v>0</v>
      </c>
      <c r="O1073" s="21">
        <v>0.2</v>
      </c>
      <c r="P1073" s="22">
        <v>2E-3</v>
      </c>
    </row>
    <row r="1074" spans="1:16" s="1" customFormat="1" ht="119.1" customHeight="1" outlineLevel="3" x14ac:dyDescent="0.2">
      <c r="A1074" s="11">
        <v>194419</v>
      </c>
      <c r="B1074" s="12" t="s">
        <v>2062</v>
      </c>
      <c r="C1074" s="12" t="s">
        <v>22</v>
      </c>
      <c r="D1074" s="13"/>
      <c r="E1074" s="14" t="s">
        <v>2063</v>
      </c>
      <c r="F1074" s="15" t="s">
        <v>24</v>
      </c>
      <c r="G1074" s="16"/>
      <c r="H1074" s="36">
        <v>2172.1</v>
      </c>
      <c r="I1074" s="36">
        <f>ROUND(H1074-(H1074*I2/100),2)</f>
        <v>2172.1</v>
      </c>
      <c r="J1074" s="17">
        <v>2</v>
      </c>
      <c r="K1074" s="18"/>
      <c r="L1074" s="18"/>
      <c r="M1074" s="20"/>
      <c r="N1074" s="37">
        <f t="shared" si="47"/>
        <v>0</v>
      </c>
      <c r="O1074" s="21">
        <v>0.2</v>
      </c>
      <c r="P1074" s="22">
        <v>2E-3</v>
      </c>
    </row>
    <row r="1075" spans="1:16" s="1" customFormat="1" ht="119.1" customHeight="1" outlineLevel="3" x14ac:dyDescent="0.2">
      <c r="A1075" s="11">
        <v>198582</v>
      </c>
      <c r="B1075" s="12" t="s">
        <v>2064</v>
      </c>
      <c r="C1075" s="12" t="s">
        <v>22</v>
      </c>
      <c r="D1075" s="13"/>
      <c r="E1075" s="14" t="s">
        <v>2065</v>
      </c>
      <c r="F1075" s="15" t="s">
        <v>24</v>
      </c>
      <c r="G1075" s="16"/>
      <c r="H1075" s="36">
        <v>1274</v>
      </c>
      <c r="I1075" s="36">
        <f>ROUND(H1075-(H1075*I2/100),2)</f>
        <v>1274</v>
      </c>
      <c r="J1075" s="17">
        <v>2</v>
      </c>
      <c r="K1075" s="18"/>
      <c r="L1075" s="18"/>
      <c r="M1075" s="20"/>
      <c r="N1075" s="37">
        <f t="shared" si="47"/>
        <v>0</v>
      </c>
      <c r="O1075" s="21">
        <v>0.1</v>
      </c>
      <c r="P1075" s="22">
        <v>5.1E-5</v>
      </c>
    </row>
    <row r="1076" spans="1:16" s="1" customFormat="1" ht="119.1" customHeight="1" outlineLevel="3" x14ac:dyDescent="0.2">
      <c r="A1076" s="11">
        <v>194395</v>
      </c>
      <c r="B1076" s="12" t="s">
        <v>2066</v>
      </c>
      <c r="C1076" s="12" t="s">
        <v>22</v>
      </c>
      <c r="D1076" s="13"/>
      <c r="E1076" s="14" t="s">
        <v>2067</v>
      </c>
      <c r="F1076" s="15" t="s">
        <v>24</v>
      </c>
      <c r="G1076" s="16"/>
      <c r="H1076" s="36">
        <v>2425.1999999999998</v>
      </c>
      <c r="I1076" s="36">
        <f>ROUND(H1076-(H1076*I2/100),2)</f>
        <v>2425.1999999999998</v>
      </c>
      <c r="J1076" s="17">
        <v>2</v>
      </c>
      <c r="K1076" s="18"/>
      <c r="L1076" s="18"/>
      <c r="M1076" s="20"/>
      <c r="N1076" s="37">
        <f t="shared" si="47"/>
        <v>0</v>
      </c>
      <c r="O1076" s="21">
        <v>0.2</v>
      </c>
      <c r="P1076" s="22">
        <v>2E-3</v>
      </c>
    </row>
    <row r="1077" spans="1:16" s="1" customFormat="1" ht="119.1" customHeight="1" outlineLevel="3" x14ac:dyDescent="0.2">
      <c r="A1077" s="11">
        <v>194398</v>
      </c>
      <c r="B1077" s="12" t="s">
        <v>2068</v>
      </c>
      <c r="C1077" s="12" t="s">
        <v>22</v>
      </c>
      <c r="D1077" s="13"/>
      <c r="E1077" s="14" t="s">
        <v>2069</v>
      </c>
      <c r="F1077" s="15" t="s">
        <v>24</v>
      </c>
      <c r="G1077" s="16"/>
      <c r="H1077" s="36">
        <v>1870.6</v>
      </c>
      <c r="I1077" s="36">
        <f>ROUND(H1077-(H1077*I2/100),2)</f>
        <v>1870.6</v>
      </c>
      <c r="J1077" s="17">
        <v>1</v>
      </c>
      <c r="K1077" s="18"/>
      <c r="L1077" s="18"/>
      <c r="M1077" s="20"/>
      <c r="N1077" s="37">
        <f t="shared" si="47"/>
        <v>0</v>
      </c>
      <c r="O1077" s="21">
        <v>0.2</v>
      </c>
      <c r="P1077" s="22">
        <v>2E-3</v>
      </c>
    </row>
    <row r="1078" spans="1:16" s="1" customFormat="1" ht="119.1" customHeight="1" outlineLevel="3" x14ac:dyDescent="0.2">
      <c r="A1078" s="11">
        <v>194418</v>
      </c>
      <c r="B1078" s="12" t="s">
        <v>2070</v>
      </c>
      <c r="C1078" s="12" t="s">
        <v>22</v>
      </c>
      <c r="D1078" s="13"/>
      <c r="E1078" s="14" t="s">
        <v>2071</v>
      </c>
      <c r="F1078" s="15" t="s">
        <v>24</v>
      </c>
      <c r="G1078" s="16"/>
      <c r="H1078" s="36">
        <v>493.7</v>
      </c>
      <c r="I1078" s="36">
        <f>ROUND(H1078-(H1078*I2/100),2)</f>
        <v>493.7</v>
      </c>
      <c r="J1078" s="17">
        <v>2</v>
      </c>
      <c r="K1078" s="18"/>
      <c r="L1078" s="18"/>
      <c r="M1078" s="20"/>
      <c r="N1078" s="37">
        <f t="shared" si="47"/>
        <v>0</v>
      </c>
      <c r="O1078" s="21">
        <v>0.2</v>
      </c>
      <c r="P1078" s="22">
        <v>2E-3</v>
      </c>
    </row>
    <row r="1079" spans="1:16" s="1" customFormat="1" ht="119.1" customHeight="1" outlineLevel="3" x14ac:dyDescent="0.2">
      <c r="A1079" s="11">
        <v>194440</v>
      </c>
      <c r="B1079" s="12" t="s">
        <v>2072</v>
      </c>
      <c r="C1079" s="12" t="s">
        <v>22</v>
      </c>
      <c r="D1079" s="13"/>
      <c r="E1079" s="14" t="s">
        <v>2073</v>
      </c>
      <c r="F1079" s="15" t="s">
        <v>24</v>
      </c>
      <c r="G1079" s="16"/>
      <c r="H1079" s="36">
        <v>1272.7</v>
      </c>
      <c r="I1079" s="36">
        <f>ROUND(H1079-(H1079*I2/100),2)</f>
        <v>1272.7</v>
      </c>
      <c r="J1079" s="17">
        <v>2</v>
      </c>
      <c r="K1079" s="18"/>
      <c r="L1079" s="18"/>
      <c r="M1079" s="20"/>
      <c r="N1079" s="37">
        <f t="shared" si="47"/>
        <v>0</v>
      </c>
      <c r="O1079" s="21">
        <v>0.2</v>
      </c>
      <c r="P1079" s="22">
        <v>2E-3</v>
      </c>
    </row>
    <row r="1080" spans="1:16" s="1" customFormat="1" ht="119.1" customHeight="1" outlineLevel="3" x14ac:dyDescent="0.2">
      <c r="A1080" s="11">
        <v>198972</v>
      </c>
      <c r="B1080" s="12" t="s">
        <v>2074</v>
      </c>
      <c r="C1080" s="12" t="s">
        <v>22</v>
      </c>
      <c r="D1080" s="13"/>
      <c r="E1080" s="14" t="s">
        <v>2075</v>
      </c>
      <c r="F1080" s="15" t="s">
        <v>24</v>
      </c>
      <c r="G1080" s="16"/>
      <c r="H1080" s="36">
        <v>1224</v>
      </c>
      <c r="I1080" s="36">
        <f>ROUND(H1080-(H1080*I2/100),2)</f>
        <v>1224</v>
      </c>
      <c r="J1080" s="17">
        <v>2</v>
      </c>
      <c r="K1080" s="18"/>
      <c r="L1080" s="18"/>
      <c r="M1080" s="20"/>
      <c r="N1080" s="37">
        <f t="shared" si="47"/>
        <v>0</v>
      </c>
      <c r="O1080" s="18"/>
      <c r="P1080" s="18"/>
    </row>
    <row r="1081" spans="1:16" s="1" customFormat="1" ht="119.1" customHeight="1" outlineLevel="3" x14ac:dyDescent="0.2">
      <c r="A1081" s="11">
        <v>194459</v>
      </c>
      <c r="B1081" s="12" t="s">
        <v>2076</v>
      </c>
      <c r="C1081" s="12" t="s">
        <v>22</v>
      </c>
      <c r="D1081" s="13"/>
      <c r="E1081" s="14" t="s">
        <v>2077</v>
      </c>
      <c r="F1081" s="15" t="s">
        <v>24</v>
      </c>
      <c r="G1081" s="16"/>
      <c r="H1081" s="36">
        <v>915.7</v>
      </c>
      <c r="I1081" s="36">
        <f>ROUND(H1081-(H1081*I2/100),2)</f>
        <v>915.7</v>
      </c>
      <c r="J1081" s="17">
        <v>1</v>
      </c>
      <c r="K1081" s="18"/>
      <c r="L1081" s="18"/>
      <c r="M1081" s="20"/>
      <c r="N1081" s="37">
        <f t="shared" ref="N1081:N1112" si="48">I1081*M1081</f>
        <v>0</v>
      </c>
      <c r="O1081" s="21">
        <v>0.2</v>
      </c>
      <c r="P1081" s="22">
        <v>2E-3</v>
      </c>
    </row>
    <row r="1082" spans="1:16" s="1" customFormat="1" ht="119.1" customHeight="1" outlineLevel="3" x14ac:dyDescent="0.2">
      <c r="A1082" s="11">
        <v>194465</v>
      </c>
      <c r="B1082" s="12" t="s">
        <v>2078</v>
      </c>
      <c r="C1082" s="12" t="s">
        <v>22</v>
      </c>
      <c r="D1082" s="13"/>
      <c r="E1082" s="14" t="s">
        <v>2079</v>
      </c>
      <c r="F1082" s="15" t="s">
        <v>24</v>
      </c>
      <c r="G1082" s="16"/>
      <c r="H1082" s="36">
        <v>2379.1999999999998</v>
      </c>
      <c r="I1082" s="36">
        <f>ROUND(H1082-(H1082*I2/100),2)</f>
        <v>2379.1999999999998</v>
      </c>
      <c r="J1082" s="17">
        <v>2</v>
      </c>
      <c r="K1082" s="18"/>
      <c r="L1082" s="18"/>
      <c r="M1082" s="20"/>
      <c r="N1082" s="37">
        <f t="shared" si="48"/>
        <v>0</v>
      </c>
      <c r="O1082" s="21">
        <v>0.2</v>
      </c>
      <c r="P1082" s="22">
        <v>2E-3</v>
      </c>
    </row>
    <row r="1083" spans="1:16" s="1" customFormat="1" ht="119.1" customHeight="1" outlineLevel="3" x14ac:dyDescent="0.2">
      <c r="A1083" s="11">
        <v>194467</v>
      </c>
      <c r="B1083" s="12" t="s">
        <v>2080</v>
      </c>
      <c r="C1083" s="12" t="s">
        <v>22</v>
      </c>
      <c r="D1083" s="13"/>
      <c r="E1083" s="14" t="s">
        <v>2081</v>
      </c>
      <c r="F1083" s="15" t="s">
        <v>24</v>
      </c>
      <c r="G1083" s="16"/>
      <c r="H1083" s="36">
        <v>4989.3999999999996</v>
      </c>
      <c r="I1083" s="36">
        <f>ROUND(H1083-(H1083*I2/100),2)</f>
        <v>4989.3999999999996</v>
      </c>
      <c r="J1083" s="17">
        <v>2</v>
      </c>
      <c r="K1083" s="18"/>
      <c r="L1083" s="18"/>
      <c r="M1083" s="20"/>
      <c r="N1083" s="37">
        <f t="shared" si="48"/>
        <v>0</v>
      </c>
      <c r="O1083" s="21">
        <v>0.2</v>
      </c>
      <c r="P1083" s="22">
        <v>2E-3</v>
      </c>
    </row>
    <row r="1084" spans="1:16" s="1" customFormat="1" ht="119.1" customHeight="1" outlineLevel="3" x14ac:dyDescent="0.2">
      <c r="A1084" s="11">
        <v>194471</v>
      </c>
      <c r="B1084" s="12" t="s">
        <v>2082</v>
      </c>
      <c r="C1084" s="12" t="s">
        <v>22</v>
      </c>
      <c r="D1084" s="13"/>
      <c r="E1084" s="14" t="s">
        <v>2083</v>
      </c>
      <c r="F1084" s="15" t="s">
        <v>24</v>
      </c>
      <c r="G1084" s="16"/>
      <c r="H1084" s="36">
        <v>3029.6</v>
      </c>
      <c r="I1084" s="36">
        <f>ROUND(H1084-(H1084*I2/100),2)</f>
        <v>3029.6</v>
      </c>
      <c r="J1084" s="17">
        <v>2</v>
      </c>
      <c r="K1084" s="18"/>
      <c r="L1084" s="18"/>
      <c r="M1084" s="20"/>
      <c r="N1084" s="37">
        <f t="shared" si="48"/>
        <v>0</v>
      </c>
      <c r="O1084" s="21">
        <v>0.2</v>
      </c>
      <c r="P1084" s="22">
        <v>2E-3</v>
      </c>
    </row>
    <row r="1085" spans="1:16" s="1" customFormat="1" ht="119.1" customHeight="1" outlineLevel="3" x14ac:dyDescent="0.2">
      <c r="A1085" s="11">
        <v>194420</v>
      </c>
      <c r="B1085" s="12" t="s">
        <v>2084</v>
      </c>
      <c r="C1085" s="12" t="s">
        <v>22</v>
      </c>
      <c r="D1085" s="13"/>
      <c r="E1085" s="14" t="s">
        <v>2085</v>
      </c>
      <c r="F1085" s="15" t="s">
        <v>24</v>
      </c>
      <c r="G1085" s="16"/>
      <c r="H1085" s="36">
        <v>557.20000000000005</v>
      </c>
      <c r="I1085" s="36">
        <f>ROUND(H1085-(H1085*I2/100),2)</f>
        <v>557.20000000000005</v>
      </c>
      <c r="J1085" s="17">
        <v>2</v>
      </c>
      <c r="K1085" s="18"/>
      <c r="L1085" s="18"/>
      <c r="M1085" s="20"/>
      <c r="N1085" s="37">
        <f t="shared" si="48"/>
        <v>0</v>
      </c>
      <c r="O1085" s="21">
        <v>0.2</v>
      </c>
      <c r="P1085" s="22">
        <v>2E-3</v>
      </c>
    </row>
    <row r="1086" spans="1:16" s="1" customFormat="1" ht="119.1" customHeight="1" outlineLevel="3" x14ac:dyDescent="0.2">
      <c r="A1086" s="11">
        <v>194434</v>
      </c>
      <c r="B1086" s="12" t="s">
        <v>2086</v>
      </c>
      <c r="C1086" s="12" t="s">
        <v>22</v>
      </c>
      <c r="D1086" s="13"/>
      <c r="E1086" s="14" t="s">
        <v>2087</v>
      </c>
      <c r="F1086" s="15" t="s">
        <v>24</v>
      </c>
      <c r="G1086" s="16"/>
      <c r="H1086" s="36">
        <v>51.4</v>
      </c>
      <c r="I1086" s="36">
        <f>ROUND(H1086-(H1086*I2/100),2)</f>
        <v>51.4</v>
      </c>
      <c r="J1086" s="17">
        <v>1</v>
      </c>
      <c r="K1086" s="18"/>
      <c r="L1086" s="18"/>
      <c r="M1086" s="20"/>
      <c r="N1086" s="37">
        <f t="shared" si="48"/>
        <v>0</v>
      </c>
      <c r="O1086" s="21">
        <v>0.2</v>
      </c>
      <c r="P1086" s="22">
        <v>2E-3</v>
      </c>
    </row>
    <row r="1087" spans="1:16" s="1" customFormat="1" ht="119.1" customHeight="1" outlineLevel="3" x14ac:dyDescent="0.2">
      <c r="A1087" s="11">
        <v>213121</v>
      </c>
      <c r="B1087" s="12" t="s">
        <v>2088</v>
      </c>
      <c r="C1087" s="12" t="s">
        <v>22</v>
      </c>
      <c r="D1087" s="13"/>
      <c r="E1087" s="14" t="s">
        <v>2089</v>
      </c>
      <c r="F1087" s="15" t="s">
        <v>24</v>
      </c>
      <c r="G1087" s="16"/>
      <c r="H1087" s="36">
        <v>52.2</v>
      </c>
      <c r="I1087" s="36">
        <f>ROUND(H1087-(H1087*I2/100),2)</f>
        <v>52.2</v>
      </c>
      <c r="J1087" s="17">
        <v>12</v>
      </c>
      <c r="K1087" s="18"/>
      <c r="L1087" s="18"/>
      <c r="M1087" s="20"/>
      <c r="N1087" s="37">
        <f t="shared" si="48"/>
        <v>0</v>
      </c>
      <c r="O1087" s="21">
        <v>0.1</v>
      </c>
      <c r="P1087" s="22">
        <v>1.0000000000000001E-5</v>
      </c>
    </row>
    <row r="1088" spans="1:16" s="1" customFormat="1" ht="119.1" customHeight="1" outlineLevel="3" x14ac:dyDescent="0.2">
      <c r="A1088" s="11">
        <v>198583</v>
      </c>
      <c r="B1088" s="12" t="s">
        <v>2090</v>
      </c>
      <c r="C1088" s="12" t="s">
        <v>22</v>
      </c>
      <c r="D1088" s="13"/>
      <c r="E1088" s="14" t="s">
        <v>2091</v>
      </c>
      <c r="F1088" s="15" t="s">
        <v>24</v>
      </c>
      <c r="G1088" s="16"/>
      <c r="H1088" s="36">
        <v>557</v>
      </c>
      <c r="I1088" s="36">
        <f>ROUND(H1088-(H1088*I2/100),2)</f>
        <v>557</v>
      </c>
      <c r="J1088" s="17">
        <v>4</v>
      </c>
      <c r="K1088" s="18"/>
      <c r="L1088" s="18"/>
      <c r="M1088" s="20"/>
      <c r="N1088" s="37">
        <f t="shared" si="48"/>
        <v>0</v>
      </c>
      <c r="O1088" s="21">
        <v>0.1</v>
      </c>
      <c r="P1088" s="22">
        <v>5.1E-5</v>
      </c>
    </row>
    <row r="1089" spans="1:16" s="1" customFormat="1" ht="119.1" customHeight="1" outlineLevel="3" x14ac:dyDescent="0.2">
      <c r="A1089" s="11">
        <v>198584</v>
      </c>
      <c r="B1089" s="12" t="s">
        <v>2092</v>
      </c>
      <c r="C1089" s="12" t="s">
        <v>22</v>
      </c>
      <c r="D1089" s="13"/>
      <c r="E1089" s="14" t="s">
        <v>2093</v>
      </c>
      <c r="F1089" s="15" t="s">
        <v>24</v>
      </c>
      <c r="G1089" s="16"/>
      <c r="H1089" s="36">
        <v>558.79999999999995</v>
      </c>
      <c r="I1089" s="36">
        <f>ROUND(H1089-(H1089*I2/100),2)</f>
        <v>558.79999999999995</v>
      </c>
      <c r="J1089" s="17">
        <v>7</v>
      </c>
      <c r="K1089" s="18"/>
      <c r="L1089" s="18"/>
      <c r="M1089" s="20"/>
      <c r="N1089" s="37">
        <f t="shared" si="48"/>
        <v>0</v>
      </c>
      <c r="O1089" s="21">
        <v>0.1</v>
      </c>
      <c r="P1089" s="22">
        <v>5.1E-5</v>
      </c>
    </row>
    <row r="1090" spans="1:16" s="1" customFormat="1" ht="119.1" customHeight="1" outlineLevel="3" x14ac:dyDescent="0.2">
      <c r="A1090" s="11">
        <v>194456</v>
      </c>
      <c r="B1090" s="12" t="s">
        <v>2094</v>
      </c>
      <c r="C1090" s="12" t="s">
        <v>22</v>
      </c>
      <c r="D1090" s="13"/>
      <c r="E1090" s="14" t="s">
        <v>2095</v>
      </c>
      <c r="F1090" s="15" t="s">
        <v>24</v>
      </c>
      <c r="G1090" s="16"/>
      <c r="H1090" s="36">
        <v>63.6</v>
      </c>
      <c r="I1090" s="36">
        <f>ROUND(H1090-(H1090*I2/100),2)</f>
        <v>63.6</v>
      </c>
      <c r="J1090" s="17">
        <v>2</v>
      </c>
      <c r="K1090" s="18"/>
      <c r="L1090" s="18"/>
      <c r="M1090" s="20"/>
      <c r="N1090" s="37">
        <f t="shared" si="48"/>
        <v>0</v>
      </c>
      <c r="O1090" s="21">
        <v>0.2</v>
      </c>
      <c r="P1090" s="22">
        <v>2E-3</v>
      </c>
    </row>
    <row r="1091" spans="1:16" s="1" customFormat="1" ht="119.1" customHeight="1" outlineLevel="3" x14ac:dyDescent="0.2">
      <c r="A1091" s="11">
        <v>213117</v>
      </c>
      <c r="B1091" s="12" t="s">
        <v>2096</v>
      </c>
      <c r="C1091" s="12" t="s">
        <v>22</v>
      </c>
      <c r="D1091" s="13"/>
      <c r="E1091" s="14" t="s">
        <v>2097</v>
      </c>
      <c r="F1091" s="15" t="s">
        <v>24</v>
      </c>
      <c r="G1091" s="16"/>
      <c r="H1091" s="36">
        <v>1503.1</v>
      </c>
      <c r="I1091" s="36">
        <f>ROUND(H1091-(H1091*I2/100),2)</f>
        <v>1503.1</v>
      </c>
      <c r="J1091" s="17">
        <v>5</v>
      </c>
      <c r="K1091" s="18"/>
      <c r="L1091" s="18"/>
      <c r="M1091" s="20"/>
      <c r="N1091" s="37">
        <f t="shared" si="48"/>
        <v>0</v>
      </c>
      <c r="O1091" s="21">
        <v>0.1</v>
      </c>
      <c r="P1091" s="22">
        <v>1.0000000000000001E-5</v>
      </c>
    </row>
    <row r="1092" spans="1:16" s="1" customFormat="1" ht="119.1" customHeight="1" outlineLevel="3" x14ac:dyDescent="0.2">
      <c r="A1092" s="11">
        <v>213122</v>
      </c>
      <c r="B1092" s="12" t="s">
        <v>2098</v>
      </c>
      <c r="C1092" s="12" t="s">
        <v>22</v>
      </c>
      <c r="D1092" s="13"/>
      <c r="E1092" s="14" t="s">
        <v>2099</v>
      </c>
      <c r="F1092" s="15" t="s">
        <v>24</v>
      </c>
      <c r="G1092" s="16"/>
      <c r="H1092" s="36">
        <v>13.1</v>
      </c>
      <c r="I1092" s="36">
        <f>ROUND(H1092-(H1092*I2/100),2)</f>
        <v>13.1</v>
      </c>
      <c r="J1092" s="17">
        <v>20</v>
      </c>
      <c r="K1092" s="18"/>
      <c r="L1092" s="18"/>
      <c r="M1092" s="20"/>
      <c r="N1092" s="37">
        <f t="shared" si="48"/>
        <v>0</v>
      </c>
      <c r="O1092" s="21">
        <v>0.1</v>
      </c>
      <c r="P1092" s="22">
        <v>1.0000000000000001E-5</v>
      </c>
    </row>
    <row r="1093" spans="1:16" s="1" customFormat="1" ht="119.1" customHeight="1" outlineLevel="3" x14ac:dyDescent="0.2">
      <c r="A1093" s="11">
        <v>213124</v>
      </c>
      <c r="B1093" s="12" t="s">
        <v>2100</v>
      </c>
      <c r="C1093" s="12" t="s">
        <v>22</v>
      </c>
      <c r="D1093" s="13"/>
      <c r="E1093" s="14" t="s">
        <v>2101</v>
      </c>
      <c r="F1093" s="15" t="s">
        <v>24</v>
      </c>
      <c r="G1093" s="16"/>
      <c r="H1093" s="36">
        <v>1250.0999999999999</v>
      </c>
      <c r="I1093" s="36">
        <f>ROUND(H1093-(H1093*I2/100),2)</f>
        <v>1250.0999999999999</v>
      </c>
      <c r="J1093" s="17">
        <v>8</v>
      </c>
      <c r="K1093" s="18"/>
      <c r="L1093" s="18"/>
      <c r="M1093" s="20"/>
      <c r="N1093" s="37">
        <f t="shared" si="48"/>
        <v>0</v>
      </c>
      <c r="O1093" s="21">
        <v>0.1</v>
      </c>
      <c r="P1093" s="22">
        <v>1.0000000000000001E-5</v>
      </c>
    </row>
    <row r="1094" spans="1:16" s="1" customFormat="1" ht="119.1" customHeight="1" outlineLevel="3" x14ac:dyDescent="0.2">
      <c r="A1094" s="11">
        <v>198581</v>
      </c>
      <c r="B1094" s="12" t="s">
        <v>2102</v>
      </c>
      <c r="C1094" s="12" t="s">
        <v>22</v>
      </c>
      <c r="D1094" s="13"/>
      <c r="E1094" s="14" t="s">
        <v>2103</v>
      </c>
      <c r="F1094" s="15" t="s">
        <v>24</v>
      </c>
      <c r="G1094" s="16"/>
      <c r="H1094" s="36">
        <v>1146.0999999999999</v>
      </c>
      <c r="I1094" s="36">
        <f>ROUND(H1094-(H1094*I2/100),2)</f>
        <v>1146.0999999999999</v>
      </c>
      <c r="J1094" s="17">
        <v>2</v>
      </c>
      <c r="K1094" s="18"/>
      <c r="L1094" s="18"/>
      <c r="M1094" s="20"/>
      <c r="N1094" s="37">
        <f t="shared" si="48"/>
        <v>0</v>
      </c>
      <c r="O1094" s="21">
        <v>0.1</v>
      </c>
      <c r="P1094" s="22">
        <v>5.1E-5</v>
      </c>
    </row>
    <row r="1095" spans="1:16" s="1" customFormat="1" ht="119.1" customHeight="1" outlineLevel="3" x14ac:dyDescent="0.2">
      <c r="A1095" s="11">
        <v>194389</v>
      </c>
      <c r="B1095" s="12" t="s">
        <v>2104</v>
      </c>
      <c r="C1095" s="12" t="s">
        <v>22</v>
      </c>
      <c r="D1095" s="13"/>
      <c r="E1095" s="14" t="s">
        <v>2105</v>
      </c>
      <c r="F1095" s="15" t="s">
        <v>24</v>
      </c>
      <c r="G1095" s="16"/>
      <c r="H1095" s="36">
        <v>1010.3</v>
      </c>
      <c r="I1095" s="36">
        <f>ROUND(H1095-(H1095*I2/100),2)</f>
        <v>1010.3</v>
      </c>
      <c r="J1095" s="17">
        <v>3</v>
      </c>
      <c r="K1095" s="18"/>
      <c r="L1095" s="18"/>
      <c r="M1095" s="20"/>
      <c r="N1095" s="37">
        <f t="shared" si="48"/>
        <v>0</v>
      </c>
      <c r="O1095" s="21">
        <v>0.2</v>
      </c>
      <c r="P1095" s="22">
        <v>2E-3</v>
      </c>
    </row>
    <row r="1096" spans="1:16" s="1" customFormat="1" ht="119.1" customHeight="1" outlineLevel="3" x14ac:dyDescent="0.2">
      <c r="A1096" s="11">
        <v>194441</v>
      </c>
      <c r="B1096" s="12" t="s">
        <v>2106</v>
      </c>
      <c r="C1096" s="12" t="s">
        <v>22</v>
      </c>
      <c r="D1096" s="13"/>
      <c r="E1096" s="14" t="s">
        <v>2107</v>
      </c>
      <c r="F1096" s="15" t="s">
        <v>24</v>
      </c>
      <c r="G1096" s="16"/>
      <c r="H1096" s="36">
        <v>898.1</v>
      </c>
      <c r="I1096" s="36">
        <f>ROUND(H1096-(H1096*I2/100),2)</f>
        <v>898.1</v>
      </c>
      <c r="J1096" s="17">
        <v>2</v>
      </c>
      <c r="K1096" s="18"/>
      <c r="L1096" s="18"/>
      <c r="M1096" s="20"/>
      <c r="N1096" s="37">
        <f t="shared" si="48"/>
        <v>0</v>
      </c>
      <c r="O1096" s="21">
        <v>0.2</v>
      </c>
      <c r="P1096" s="22">
        <v>2E-3</v>
      </c>
    </row>
    <row r="1097" spans="1:16" s="1" customFormat="1" ht="119.1" customHeight="1" outlineLevel="3" x14ac:dyDescent="0.2">
      <c r="A1097" s="11">
        <v>194464</v>
      </c>
      <c r="B1097" s="12" t="s">
        <v>2108</v>
      </c>
      <c r="C1097" s="12" t="s">
        <v>22</v>
      </c>
      <c r="D1097" s="13"/>
      <c r="E1097" s="14" t="s">
        <v>2109</v>
      </c>
      <c r="F1097" s="15" t="s">
        <v>24</v>
      </c>
      <c r="G1097" s="16"/>
      <c r="H1097" s="36">
        <v>2315.5</v>
      </c>
      <c r="I1097" s="36">
        <f>ROUND(H1097-(H1097*I2/100),2)</f>
        <v>2315.5</v>
      </c>
      <c r="J1097" s="17">
        <v>2</v>
      </c>
      <c r="K1097" s="18"/>
      <c r="L1097" s="18"/>
      <c r="M1097" s="20"/>
      <c r="N1097" s="37">
        <f t="shared" si="48"/>
        <v>0</v>
      </c>
      <c r="O1097" s="21">
        <v>0.2</v>
      </c>
      <c r="P1097" s="22">
        <v>2E-3</v>
      </c>
    </row>
    <row r="1098" spans="1:16" s="1" customFormat="1" ht="119.1" customHeight="1" outlineLevel="3" x14ac:dyDescent="0.2">
      <c r="A1098" s="11">
        <v>194468</v>
      </c>
      <c r="B1098" s="12" t="s">
        <v>2110</v>
      </c>
      <c r="C1098" s="12" t="s">
        <v>22</v>
      </c>
      <c r="D1098" s="13"/>
      <c r="E1098" s="14" t="s">
        <v>2111</v>
      </c>
      <c r="F1098" s="15" t="s">
        <v>24</v>
      </c>
      <c r="G1098" s="16"/>
      <c r="H1098" s="36">
        <v>4574.2</v>
      </c>
      <c r="I1098" s="36">
        <f>ROUND(H1098-(H1098*I2/100),2)</f>
        <v>4574.2</v>
      </c>
      <c r="J1098" s="17">
        <v>2</v>
      </c>
      <c r="K1098" s="18"/>
      <c r="L1098" s="18"/>
      <c r="M1098" s="20"/>
      <c r="N1098" s="37">
        <f t="shared" si="48"/>
        <v>0</v>
      </c>
      <c r="O1098" s="21">
        <v>0.2</v>
      </c>
      <c r="P1098" s="22">
        <v>2E-3</v>
      </c>
    </row>
    <row r="1099" spans="1:16" s="1" customFormat="1" ht="119.1" customHeight="1" outlineLevel="3" x14ac:dyDescent="0.2">
      <c r="A1099" s="11">
        <v>194472</v>
      </c>
      <c r="B1099" s="12" t="s">
        <v>2112</v>
      </c>
      <c r="C1099" s="12" t="s">
        <v>22</v>
      </c>
      <c r="D1099" s="13"/>
      <c r="E1099" s="14" t="s">
        <v>2113</v>
      </c>
      <c r="F1099" s="15" t="s">
        <v>24</v>
      </c>
      <c r="G1099" s="16"/>
      <c r="H1099" s="36">
        <v>2872.8</v>
      </c>
      <c r="I1099" s="36">
        <f>ROUND(H1099-(H1099*I2/100),2)</f>
        <v>2872.8</v>
      </c>
      <c r="J1099" s="17">
        <v>2</v>
      </c>
      <c r="K1099" s="18"/>
      <c r="L1099" s="18"/>
      <c r="M1099" s="20"/>
      <c r="N1099" s="37">
        <f t="shared" si="48"/>
        <v>0</v>
      </c>
      <c r="O1099" s="21">
        <v>0.2</v>
      </c>
      <c r="P1099" s="22">
        <v>2E-3</v>
      </c>
    </row>
    <row r="1100" spans="1:16" s="1" customFormat="1" ht="119.1" customHeight="1" outlineLevel="3" x14ac:dyDescent="0.2">
      <c r="A1100" s="11">
        <v>194421</v>
      </c>
      <c r="B1100" s="12" t="s">
        <v>2114</v>
      </c>
      <c r="C1100" s="12" t="s">
        <v>22</v>
      </c>
      <c r="D1100" s="13"/>
      <c r="E1100" s="14" t="s">
        <v>2115</v>
      </c>
      <c r="F1100" s="15" t="s">
        <v>24</v>
      </c>
      <c r="G1100" s="16"/>
      <c r="H1100" s="36">
        <v>2035.5</v>
      </c>
      <c r="I1100" s="36">
        <f>ROUND(H1100-(H1100*I2/100),2)</f>
        <v>2035.5</v>
      </c>
      <c r="J1100" s="17">
        <v>2</v>
      </c>
      <c r="K1100" s="18"/>
      <c r="L1100" s="18"/>
      <c r="M1100" s="20"/>
      <c r="N1100" s="37">
        <f t="shared" si="48"/>
        <v>0</v>
      </c>
      <c r="O1100" s="21">
        <v>0.2</v>
      </c>
      <c r="P1100" s="22">
        <v>2E-3</v>
      </c>
    </row>
    <row r="1101" spans="1:16" s="1" customFormat="1" ht="119.1" customHeight="1" outlineLevel="3" x14ac:dyDescent="0.2">
      <c r="A1101" s="11">
        <v>194400</v>
      </c>
      <c r="B1101" s="12" t="s">
        <v>2116</v>
      </c>
      <c r="C1101" s="12" t="s">
        <v>22</v>
      </c>
      <c r="D1101" s="13"/>
      <c r="E1101" s="14" t="s">
        <v>2117</v>
      </c>
      <c r="F1101" s="15" t="s">
        <v>24</v>
      </c>
      <c r="G1101" s="16"/>
      <c r="H1101" s="36">
        <v>10.9</v>
      </c>
      <c r="I1101" s="36">
        <f>ROUND(H1101-(H1101*I2/100),2)</f>
        <v>10.9</v>
      </c>
      <c r="J1101" s="17">
        <v>1</v>
      </c>
      <c r="K1101" s="18"/>
      <c r="L1101" s="18"/>
      <c r="M1101" s="20"/>
      <c r="N1101" s="37">
        <f t="shared" si="48"/>
        <v>0</v>
      </c>
      <c r="O1101" s="21">
        <v>0.2</v>
      </c>
      <c r="P1101" s="22">
        <v>2E-3</v>
      </c>
    </row>
    <row r="1102" spans="1:16" s="1" customFormat="1" ht="119.1" customHeight="1" outlineLevel="3" x14ac:dyDescent="0.2">
      <c r="A1102" s="11">
        <v>213115</v>
      </c>
      <c r="B1102" s="12" t="s">
        <v>2118</v>
      </c>
      <c r="C1102" s="12" t="s">
        <v>22</v>
      </c>
      <c r="D1102" s="13"/>
      <c r="E1102" s="14" t="s">
        <v>2119</v>
      </c>
      <c r="F1102" s="15" t="s">
        <v>24</v>
      </c>
      <c r="G1102" s="16"/>
      <c r="H1102" s="36">
        <v>1021.6</v>
      </c>
      <c r="I1102" s="36">
        <f>ROUND(H1102-(H1102*I2/100),2)</f>
        <v>1021.6</v>
      </c>
      <c r="J1102" s="17">
        <v>7</v>
      </c>
      <c r="K1102" s="18"/>
      <c r="L1102" s="18"/>
      <c r="M1102" s="20"/>
      <c r="N1102" s="37">
        <f t="shared" si="48"/>
        <v>0</v>
      </c>
      <c r="O1102" s="21">
        <v>0.1</v>
      </c>
      <c r="P1102" s="22">
        <v>1.0000000000000001E-5</v>
      </c>
    </row>
    <row r="1103" spans="1:16" s="1" customFormat="1" ht="119.1" customHeight="1" outlineLevel="3" x14ac:dyDescent="0.2">
      <c r="A1103" s="11">
        <v>194462</v>
      </c>
      <c r="B1103" s="12" t="s">
        <v>2120</v>
      </c>
      <c r="C1103" s="12" t="s">
        <v>22</v>
      </c>
      <c r="D1103" s="13"/>
      <c r="E1103" s="14" t="s">
        <v>2121</v>
      </c>
      <c r="F1103" s="15" t="s">
        <v>24</v>
      </c>
      <c r="G1103" s="16"/>
      <c r="H1103" s="36">
        <v>75.7</v>
      </c>
      <c r="I1103" s="36">
        <f>ROUND(H1103-(H1103*I2/100),2)</f>
        <v>75.7</v>
      </c>
      <c r="J1103" s="17">
        <v>1</v>
      </c>
      <c r="K1103" s="18"/>
      <c r="L1103" s="18"/>
      <c r="M1103" s="20"/>
      <c r="N1103" s="37">
        <f t="shared" si="48"/>
        <v>0</v>
      </c>
      <c r="O1103" s="21">
        <v>0.2</v>
      </c>
      <c r="P1103" s="22">
        <v>2E-3</v>
      </c>
    </row>
    <row r="1104" spans="1:16" s="1" customFormat="1" ht="119.1" customHeight="1" outlineLevel="3" x14ac:dyDescent="0.2">
      <c r="A1104" s="11">
        <v>194438</v>
      </c>
      <c r="B1104" s="12" t="s">
        <v>2122</v>
      </c>
      <c r="C1104" s="12" t="s">
        <v>22</v>
      </c>
      <c r="D1104" s="13"/>
      <c r="E1104" s="14" t="s">
        <v>2123</v>
      </c>
      <c r="F1104" s="15" t="s">
        <v>24</v>
      </c>
      <c r="G1104" s="16"/>
      <c r="H1104" s="36">
        <v>124.3</v>
      </c>
      <c r="I1104" s="36">
        <f>ROUND(H1104-(H1104*I2/100),2)</f>
        <v>124.3</v>
      </c>
      <c r="J1104" s="17">
        <v>2</v>
      </c>
      <c r="K1104" s="18"/>
      <c r="L1104" s="18"/>
      <c r="M1104" s="20"/>
      <c r="N1104" s="37">
        <f t="shared" si="48"/>
        <v>0</v>
      </c>
      <c r="O1104" s="21">
        <v>0.2</v>
      </c>
      <c r="P1104" s="22">
        <v>2E-3</v>
      </c>
    </row>
    <row r="1105" spans="1:16" s="1" customFormat="1" ht="119.1" customHeight="1" outlineLevel="3" x14ac:dyDescent="0.2">
      <c r="A1105" s="11">
        <v>194453</v>
      </c>
      <c r="B1105" s="12" t="s">
        <v>2124</v>
      </c>
      <c r="C1105" s="12" t="s">
        <v>22</v>
      </c>
      <c r="D1105" s="13"/>
      <c r="E1105" s="14" t="s">
        <v>2125</v>
      </c>
      <c r="F1105" s="15" t="s">
        <v>24</v>
      </c>
      <c r="G1105" s="16"/>
      <c r="H1105" s="36">
        <v>289.5</v>
      </c>
      <c r="I1105" s="36">
        <f>ROUND(H1105-(H1105*I2/100),2)</f>
        <v>289.5</v>
      </c>
      <c r="J1105" s="17">
        <v>1</v>
      </c>
      <c r="K1105" s="18"/>
      <c r="L1105" s="18"/>
      <c r="M1105" s="20"/>
      <c r="N1105" s="37">
        <f t="shared" si="48"/>
        <v>0</v>
      </c>
      <c r="O1105" s="21">
        <v>0.2</v>
      </c>
      <c r="P1105" s="22">
        <v>2E-3</v>
      </c>
    </row>
    <row r="1106" spans="1:16" s="1" customFormat="1" ht="119.1" customHeight="1" outlineLevel="3" x14ac:dyDescent="0.2">
      <c r="A1106" s="11">
        <v>194437</v>
      </c>
      <c r="B1106" s="12" t="s">
        <v>2126</v>
      </c>
      <c r="C1106" s="12" t="s">
        <v>22</v>
      </c>
      <c r="D1106" s="13"/>
      <c r="E1106" s="14" t="s">
        <v>2127</v>
      </c>
      <c r="F1106" s="15" t="s">
        <v>24</v>
      </c>
      <c r="G1106" s="16"/>
      <c r="H1106" s="36">
        <v>104.1</v>
      </c>
      <c r="I1106" s="36">
        <f>ROUND(H1106-(H1106*I2/100),2)</f>
        <v>104.1</v>
      </c>
      <c r="J1106" s="17">
        <v>2</v>
      </c>
      <c r="K1106" s="18"/>
      <c r="L1106" s="18"/>
      <c r="M1106" s="20"/>
      <c r="N1106" s="37">
        <f t="shared" si="48"/>
        <v>0</v>
      </c>
      <c r="O1106" s="21">
        <v>0.2</v>
      </c>
      <c r="P1106" s="22">
        <v>2E-3</v>
      </c>
    </row>
    <row r="1107" spans="1:16" s="1" customFormat="1" ht="119.1" customHeight="1" outlineLevel="3" x14ac:dyDescent="0.2">
      <c r="A1107" s="11">
        <v>194392</v>
      </c>
      <c r="B1107" s="12" t="s">
        <v>2128</v>
      </c>
      <c r="C1107" s="12" t="s">
        <v>22</v>
      </c>
      <c r="D1107" s="13"/>
      <c r="E1107" s="14" t="s">
        <v>2129</v>
      </c>
      <c r="F1107" s="15" t="s">
        <v>24</v>
      </c>
      <c r="G1107" s="16"/>
      <c r="H1107" s="36">
        <v>814.2</v>
      </c>
      <c r="I1107" s="36">
        <f>ROUND(H1107-(H1107*I2/100),2)</f>
        <v>814.2</v>
      </c>
      <c r="J1107" s="17">
        <v>2</v>
      </c>
      <c r="K1107" s="18"/>
      <c r="L1107" s="18"/>
      <c r="M1107" s="20"/>
      <c r="N1107" s="37">
        <f t="shared" si="48"/>
        <v>0</v>
      </c>
      <c r="O1107" s="21">
        <v>0.2</v>
      </c>
      <c r="P1107" s="22">
        <v>2E-3</v>
      </c>
    </row>
    <row r="1108" spans="1:16" s="1" customFormat="1" ht="119.1" customHeight="1" outlineLevel="3" x14ac:dyDescent="0.2">
      <c r="A1108" s="11">
        <v>194540</v>
      </c>
      <c r="B1108" s="12" t="s">
        <v>2130</v>
      </c>
      <c r="C1108" s="12" t="s">
        <v>22</v>
      </c>
      <c r="D1108" s="13"/>
      <c r="E1108" s="14" t="s">
        <v>2131</v>
      </c>
      <c r="F1108" s="15" t="s">
        <v>113</v>
      </c>
      <c r="G1108" s="16"/>
      <c r="H1108" s="36">
        <v>438.6</v>
      </c>
      <c r="I1108" s="36">
        <f>ROUND(H1108-(H1108*I2/100),2)</f>
        <v>438.6</v>
      </c>
      <c r="J1108" s="17">
        <v>3</v>
      </c>
      <c r="K1108" s="18"/>
      <c r="L1108" s="18"/>
      <c r="M1108" s="20"/>
      <c r="N1108" s="37">
        <f t="shared" si="48"/>
        <v>0</v>
      </c>
      <c r="O1108" s="21">
        <v>0.2</v>
      </c>
      <c r="P1108" s="22">
        <v>1E-4</v>
      </c>
    </row>
    <row r="1109" spans="1:16" s="1" customFormat="1" ht="119.1" customHeight="1" outlineLevel="3" x14ac:dyDescent="0.2">
      <c r="A1109" s="11">
        <v>194466</v>
      </c>
      <c r="B1109" s="12" t="s">
        <v>2132</v>
      </c>
      <c r="C1109" s="12" t="s">
        <v>22</v>
      </c>
      <c r="D1109" s="13"/>
      <c r="E1109" s="14" t="s">
        <v>2133</v>
      </c>
      <c r="F1109" s="15" t="s">
        <v>24</v>
      </c>
      <c r="G1109" s="16"/>
      <c r="H1109" s="36">
        <v>499.1</v>
      </c>
      <c r="I1109" s="36">
        <f>ROUND(H1109-(H1109*I2/100),2)</f>
        <v>499.1</v>
      </c>
      <c r="J1109" s="17">
        <v>2</v>
      </c>
      <c r="K1109" s="18"/>
      <c r="L1109" s="18"/>
      <c r="M1109" s="20"/>
      <c r="N1109" s="37">
        <f t="shared" si="48"/>
        <v>0</v>
      </c>
      <c r="O1109" s="21">
        <v>0.2</v>
      </c>
      <c r="P1109" s="22">
        <v>2E-3</v>
      </c>
    </row>
    <row r="1110" spans="1:16" s="1" customFormat="1" ht="119.1" customHeight="1" outlineLevel="3" x14ac:dyDescent="0.2">
      <c r="A1110" s="11">
        <v>213120</v>
      </c>
      <c r="B1110" s="12" t="s">
        <v>2134</v>
      </c>
      <c r="C1110" s="12" t="s">
        <v>22</v>
      </c>
      <c r="D1110" s="13"/>
      <c r="E1110" s="14" t="s">
        <v>2135</v>
      </c>
      <c r="F1110" s="15" t="s">
        <v>24</v>
      </c>
      <c r="G1110" s="16"/>
      <c r="H1110" s="36">
        <v>419.4</v>
      </c>
      <c r="I1110" s="36">
        <f>ROUND(H1110-(H1110*I2/100),2)</f>
        <v>419.4</v>
      </c>
      <c r="J1110" s="17">
        <v>20</v>
      </c>
      <c r="K1110" s="18"/>
      <c r="L1110" s="18"/>
      <c r="M1110" s="20"/>
      <c r="N1110" s="37">
        <f t="shared" si="48"/>
        <v>0</v>
      </c>
      <c r="O1110" s="21">
        <v>0.1</v>
      </c>
      <c r="P1110" s="22">
        <v>1.0000000000000001E-5</v>
      </c>
    </row>
    <row r="1111" spans="1:16" s="1" customFormat="1" ht="119.1" customHeight="1" outlineLevel="3" x14ac:dyDescent="0.2">
      <c r="A1111" s="11">
        <v>194422</v>
      </c>
      <c r="B1111" s="12" t="s">
        <v>2136</v>
      </c>
      <c r="C1111" s="12" t="s">
        <v>22</v>
      </c>
      <c r="D1111" s="13"/>
      <c r="E1111" s="14" t="s">
        <v>2137</v>
      </c>
      <c r="F1111" s="15" t="s">
        <v>24</v>
      </c>
      <c r="G1111" s="16"/>
      <c r="H1111" s="36">
        <v>303</v>
      </c>
      <c r="I1111" s="36">
        <f>ROUND(H1111-(H1111*I2/100),2)</f>
        <v>303</v>
      </c>
      <c r="J1111" s="17">
        <v>2</v>
      </c>
      <c r="K1111" s="18"/>
      <c r="L1111" s="18"/>
      <c r="M1111" s="20"/>
      <c r="N1111" s="37">
        <f t="shared" si="48"/>
        <v>0</v>
      </c>
      <c r="O1111" s="21">
        <v>0.2</v>
      </c>
      <c r="P1111" s="22">
        <v>2E-3</v>
      </c>
    </row>
    <row r="1112" spans="1:16" s="1" customFormat="1" ht="119.1" customHeight="1" outlineLevel="3" x14ac:dyDescent="0.2">
      <c r="A1112" s="11">
        <v>213111</v>
      </c>
      <c r="B1112" s="12" t="s">
        <v>2138</v>
      </c>
      <c r="C1112" s="12" t="s">
        <v>22</v>
      </c>
      <c r="D1112" s="13"/>
      <c r="E1112" s="14" t="s">
        <v>2139</v>
      </c>
      <c r="F1112" s="15" t="s">
        <v>24</v>
      </c>
      <c r="G1112" s="16"/>
      <c r="H1112" s="36">
        <v>197.5</v>
      </c>
      <c r="I1112" s="36">
        <f>ROUND(H1112-(H1112*I2/100),2)</f>
        <v>197.5</v>
      </c>
      <c r="J1112" s="17">
        <v>40</v>
      </c>
      <c r="K1112" s="18"/>
      <c r="L1112" s="18"/>
      <c r="M1112" s="20"/>
      <c r="N1112" s="37">
        <f t="shared" si="48"/>
        <v>0</v>
      </c>
      <c r="O1112" s="21">
        <v>0.1</v>
      </c>
      <c r="P1112" s="22">
        <v>1.0000000000000001E-5</v>
      </c>
    </row>
    <row r="1113" spans="1:16" s="8" customFormat="1" ht="15.95" customHeight="1" outlineLevel="2" x14ac:dyDescent="0.25">
      <c r="A1113" s="9"/>
      <c r="B1113" s="10"/>
      <c r="C1113" s="10"/>
      <c r="D1113" s="10" t="s">
        <v>2140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</row>
    <row r="1114" spans="1:16" s="1" customFormat="1" ht="119.1" customHeight="1" outlineLevel="3" x14ac:dyDescent="0.2">
      <c r="A1114" s="11">
        <v>206457</v>
      </c>
      <c r="B1114" s="12" t="s">
        <v>2141</v>
      </c>
      <c r="C1114" s="12" t="s">
        <v>22</v>
      </c>
      <c r="D1114" s="13"/>
      <c r="E1114" s="14" t="s">
        <v>2142</v>
      </c>
      <c r="F1114" s="15" t="s">
        <v>24</v>
      </c>
      <c r="G1114" s="16"/>
      <c r="H1114" s="36">
        <v>741.1</v>
      </c>
      <c r="I1114" s="36">
        <f>ROUND(H1114-(H1114*I2/100),2)</f>
        <v>741.1</v>
      </c>
      <c r="J1114" s="17">
        <v>12</v>
      </c>
      <c r="K1114" s="18"/>
      <c r="L1114" s="18"/>
      <c r="M1114" s="20"/>
      <c r="N1114" s="37">
        <f t="shared" ref="N1114:N1123" si="49">I1114*M1114</f>
        <v>0</v>
      </c>
      <c r="O1114" s="21">
        <v>0.3</v>
      </c>
      <c r="P1114" s="22">
        <v>2E-3</v>
      </c>
    </row>
    <row r="1115" spans="1:16" s="1" customFormat="1" ht="119.1" customHeight="1" outlineLevel="3" x14ac:dyDescent="0.2">
      <c r="A1115" s="11">
        <v>219311</v>
      </c>
      <c r="B1115" s="12" t="s">
        <v>2143</v>
      </c>
      <c r="C1115" s="12" t="s">
        <v>50</v>
      </c>
      <c r="D1115" s="13"/>
      <c r="E1115" s="14" t="s">
        <v>2144</v>
      </c>
      <c r="F1115" s="15" t="s">
        <v>24</v>
      </c>
      <c r="G1115" s="16"/>
      <c r="H1115" s="36">
        <v>599.9</v>
      </c>
      <c r="I1115" s="36">
        <f>ROUND(H1115-(H1115*I2/100),2)</f>
        <v>599.9</v>
      </c>
      <c r="J1115" s="17">
        <v>8</v>
      </c>
      <c r="K1115" s="18"/>
      <c r="L1115" s="18"/>
      <c r="M1115" s="20"/>
      <c r="N1115" s="37">
        <f t="shared" si="49"/>
        <v>0</v>
      </c>
      <c r="O1115" s="21">
        <v>0.32500000000000001</v>
      </c>
      <c r="P1115" s="22">
        <v>1.3489999999999999E-3</v>
      </c>
    </row>
    <row r="1116" spans="1:16" s="1" customFormat="1" ht="119.1" customHeight="1" outlineLevel="3" x14ac:dyDescent="0.2">
      <c r="A1116" s="11">
        <v>175061</v>
      </c>
      <c r="B1116" s="12" t="s">
        <v>2145</v>
      </c>
      <c r="C1116" s="12" t="s">
        <v>22</v>
      </c>
      <c r="D1116" s="13"/>
      <c r="E1116" s="14" t="s">
        <v>2146</v>
      </c>
      <c r="F1116" s="15" t="s">
        <v>24</v>
      </c>
      <c r="G1116" s="16"/>
      <c r="H1116" s="36">
        <v>1743.3</v>
      </c>
      <c r="I1116" s="36">
        <f>ROUND(H1116-(H1116*I2/100),2)</f>
        <v>1743.3</v>
      </c>
      <c r="J1116" s="17">
        <v>16</v>
      </c>
      <c r="K1116" s="18"/>
      <c r="L1116" s="18"/>
      <c r="M1116" s="20"/>
      <c r="N1116" s="37">
        <f t="shared" si="49"/>
        <v>0</v>
      </c>
      <c r="O1116" s="21">
        <v>0.5</v>
      </c>
      <c r="P1116" s="22">
        <v>1.9580000000000001E-3</v>
      </c>
    </row>
    <row r="1117" spans="1:16" s="1" customFormat="1" ht="119.1" customHeight="1" outlineLevel="3" x14ac:dyDescent="0.2">
      <c r="A1117" s="11">
        <v>192242</v>
      </c>
      <c r="B1117" s="12" t="s">
        <v>2147</v>
      </c>
      <c r="C1117" s="12" t="s">
        <v>22</v>
      </c>
      <c r="D1117" s="13"/>
      <c r="E1117" s="14" t="s">
        <v>2148</v>
      </c>
      <c r="F1117" s="15" t="s">
        <v>24</v>
      </c>
      <c r="G1117" s="16"/>
      <c r="H1117" s="36">
        <v>3054.8</v>
      </c>
      <c r="I1117" s="36">
        <f>ROUND(H1117-(H1117*I2/100),2)</f>
        <v>3054.8</v>
      </c>
      <c r="J1117" s="17">
        <v>21</v>
      </c>
      <c r="K1117" s="18"/>
      <c r="L1117" s="18"/>
      <c r="M1117" s="20"/>
      <c r="N1117" s="37">
        <f t="shared" si="49"/>
        <v>0</v>
      </c>
      <c r="O1117" s="21">
        <v>1.085</v>
      </c>
      <c r="P1117" s="22">
        <v>2.7669999999999999E-3</v>
      </c>
    </row>
    <row r="1118" spans="1:16" s="1" customFormat="1" ht="119.1" customHeight="1" outlineLevel="3" x14ac:dyDescent="0.2">
      <c r="A1118" s="11">
        <v>219319</v>
      </c>
      <c r="B1118" s="12" t="s">
        <v>2149</v>
      </c>
      <c r="C1118" s="12" t="s">
        <v>50</v>
      </c>
      <c r="D1118" s="13"/>
      <c r="E1118" s="14" t="s">
        <v>2150</v>
      </c>
      <c r="F1118" s="15" t="s">
        <v>24</v>
      </c>
      <c r="G1118" s="16"/>
      <c r="H1118" s="36">
        <v>3090.5</v>
      </c>
      <c r="I1118" s="36">
        <f>ROUND(H1118-(H1118*I2/100),2)</f>
        <v>3090.5</v>
      </c>
      <c r="J1118" s="17">
        <v>82</v>
      </c>
      <c r="K1118" s="18"/>
      <c r="L1118" s="18"/>
      <c r="M1118" s="20"/>
      <c r="N1118" s="37">
        <f t="shared" si="49"/>
        <v>0</v>
      </c>
      <c r="O1118" s="21">
        <v>0.75</v>
      </c>
      <c r="P1118" s="22">
        <v>3.5699999999999998E-3</v>
      </c>
    </row>
    <row r="1119" spans="1:16" s="1" customFormat="1" ht="119.1" customHeight="1" outlineLevel="3" x14ac:dyDescent="0.2">
      <c r="A1119" s="11">
        <v>219320</v>
      </c>
      <c r="B1119" s="12" t="s">
        <v>2151</v>
      </c>
      <c r="C1119" s="12" t="s">
        <v>50</v>
      </c>
      <c r="D1119" s="13"/>
      <c r="E1119" s="14" t="s">
        <v>2152</v>
      </c>
      <c r="F1119" s="15" t="s">
        <v>24</v>
      </c>
      <c r="G1119" s="16"/>
      <c r="H1119" s="36">
        <v>5414</v>
      </c>
      <c r="I1119" s="36">
        <f>ROUND(H1119-(H1119*I2/100),2)</f>
        <v>5414</v>
      </c>
      <c r="J1119" s="17">
        <v>81</v>
      </c>
      <c r="K1119" s="18"/>
      <c r="L1119" s="18"/>
      <c r="M1119" s="20"/>
      <c r="N1119" s="37">
        <f t="shared" si="49"/>
        <v>0</v>
      </c>
      <c r="O1119" s="21">
        <v>1.38</v>
      </c>
      <c r="P1119" s="22">
        <v>4.9680000000000002E-3</v>
      </c>
    </row>
    <row r="1120" spans="1:16" s="1" customFormat="1" ht="119.1" customHeight="1" outlineLevel="3" x14ac:dyDescent="0.2">
      <c r="A1120" s="11">
        <v>195742</v>
      </c>
      <c r="B1120" s="12" t="s">
        <v>2153</v>
      </c>
      <c r="C1120" s="12" t="s">
        <v>22</v>
      </c>
      <c r="D1120" s="13"/>
      <c r="E1120" s="14" t="s">
        <v>2154</v>
      </c>
      <c r="F1120" s="15" t="s">
        <v>24</v>
      </c>
      <c r="G1120" s="16"/>
      <c r="H1120" s="36">
        <v>3782</v>
      </c>
      <c r="I1120" s="36">
        <f>ROUND(H1120-(H1120*I2/100),2)</f>
        <v>3782</v>
      </c>
      <c r="J1120" s="17">
        <v>1</v>
      </c>
      <c r="K1120" s="18"/>
      <c r="L1120" s="18"/>
      <c r="M1120" s="20"/>
      <c r="N1120" s="37">
        <f t="shared" si="49"/>
        <v>0</v>
      </c>
      <c r="O1120" s="21">
        <v>3.625</v>
      </c>
      <c r="P1120" s="22">
        <v>7.9360000000000003E-3</v>
      </c>
    </row>
    <row r="1121" spans="1:16" s="1" customFormat="1" ht="119.1" customHeight="1" outlineLevel="3" x14ac:dyDescent="0.2">
      <c r="A1121" s="11">
        <v>200332</v>
      </c>
      <c r="B1121" s="12" t="s">
        <v>2155</v>
      </c>
      <c r="C1121" s="12" t="s">
        <v>50</v>
      </c>
      <c r="D1121" s="13"/>
      <c r="E1121" s="14" t="s">
        <v>2156</v>
      </c>
      <c r="F1121" s="15" t="s">
        <v>24</v>
      </c>
      <c r="G1121" s="16"/>
      <c r="H1121" s="36">
        <v>1643.4</v>
      </c>
      <c r="I1121" s="36">
        <f>ROUND(H1121-(H1121*I2/100),2)</f>
        <v>1643.4</v>
      </c>
      <c r="J1121" s="17">
        <v>85</v>
      </c>
      <c r="K1121" s="18"/>
      <c r="L1121" s="18"/>
      <c r="M1121" s="20"/>
      <c r="N1121" s="37">
        <f t="shared" si="49"/>
        <v>0</v>
      </c>
      <c r="O1121" s="21">
        <v>0.5</v>
      </c>
      <c r="P1121" s="22">
        <v>5.0000000000000001E-3</v>
      </c>
    </row>
    <row r="1122" spans="1:16" s="1" customFormat="1" ht="119.1" customHeight="1" outlineLevel="3" x14ac:dyDescent="0.2">
      <c r="A1122" s="11">
        <v>194189</v>
      </c>
      <c r="B1122" s="12" t="s">
        <v>2157</v>
      </c>
      <c r="C1122" s="12" t="s">
        <v>22</v>
      </c>
      <c r="D1122" s="13"/>
      <c r="E1122" s="14" t="s">
        <v>2158</v>
      </c>
      <c r="F1122" s="15" t="s">
        <v>24</v>
      </c>
      <c r="G1122" s="16"/>
      <c r="H1122" s="36">
        <v>69.3</v>
      </c>
      <c r="I1122" s="36">
        <f>ROUND(H1122-(H1122*I2/100),2)</f>
        <v>69.3</v>
      </c>
      <c r="J1122" s="17">
        <v>18</v>
      </c>
      <c r="K1122" s="18"/>
      <c r="L1122" s="18"/>
      <c r="M1122" s="20"/>
      <c r="N1122" s="37">
        <f t="shared" si="49"/>
        <v>0</v>
      </c>
      <c r="O1122" s="21">
        <v>2.8000000000000001E-2</v>
      </c>
      <c r="P1122" s="22">
        <v>6.9999999999999994E-5</v>
      </c>
    </row>
    <row r="1123" spans="1:16" s="1" customFormat="1" ht="119.1" customHeight="1" outlineLevel="3" x14ac:dyDescent="0.2">
      <c r="A1123" s="11">
        <v>219321</v>
      </c>
      <c r="B1123" s="12" t="s">
        <v>2159</v>
      </c>
      <c r="C1123" s="12" t="s">
        <v>50</v>
      </c>
      <c r="D1123" s="13"/>
      <c r="E1123" s="14" t="s">
        <v>2160</v>
      </c>
      <c r="F1123" s="15" t="s">
        <v>24</v>
      </c>
      <c r="G1123" s="16"/>
      <c r="H1123" s="36">
        <v>11533.1</v>
      </c>
      <c r="I1123" s="36">
        <f>ROUND(H1123-(H1123*I2/100),2)</f>
        <v>11533.1</v>
      </c>
      <c r="J1123" s="17">
        <v>55</v>
      </c>
      <c r="K1123" s="18"/>
      <c r="L1123" s="18"/>
      <c r="M1123" s="20"/>
      <c r="N1123" s="37">
        <f t="shared" si="49"/>
        <v>0</v>
      </c>
      <c r="O1123" s="21">
        <v>5.01</v>
      </c>
      <c r="P1123" s="22">
        <v>2.6424E-2</v>
      </c>
    </row>
    <row r="1124" spans="1:16" s="8" customFormat="1" ht="15.95" customHeight="1" outlineLevel="2" x14ac:dyDescent="0.25">
      <c r="A1124" s="9"/>
      <c r="B1124" s="10"/>
      <c r="C1124" s="10"/>
      <c r="D1124" s="10" t="s">
        <v>2161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</row>
    <row r="1125" spans="1:16" s="1" customFormat="1" ht="119.1" customHeight="1" outlineLevel="3" x14ac:dyDescent="0.2">
      <c r="A1125" s="11">
        <v>214979</v>
      </c>
      <c r="B1125" s="12" t="s">
        <v>2162</v>
      </c>
      <c r="C1125" s="12" t="s">
        <v>22</v>
      </c>
      <c r="D1125" s="13"/>
      <c r="E1125" s="14" t="s">
        <v>2163</v>
      </c>
      <c r="F1125" s="15" t="s">
        <v>24</v>
      </c>
      <c r="G1125" s="16"/>
      <c r="H1125" s="36">
        <v>6409.5</v>
      </c>
      <c r="I1125" s="36">
        <f>ROUND(H1125-(H1125*I2/100),2)</f>
        <v>6409.5</v>
      </c>
      <c r="J1125" s="17">
        <v>66</v>
      </c>
      <c r="K1125" s="18"/>
      <c r="L1125" s="18"/>
      <c r="M1125" s="20"/>
      <c r="N1125" s="37">
        <f>I1125*M1125</f>
        <v>0</v>
      </c>
      <c r="O1125" s="21">
        <v>1.6</v>
      </c>
      <c r="P1125" s="22">
        <v>3.46E-3</v>
      </c>
    </row>
    <row r="1126" spans="1:16" s="1" customFormat="1" ht="119.1" customHeight="1" outlineLevel="3" x14ac:dyDescent="0.2">
      <c r="A1126" s="11">
        <v>210053</v>
      </c>
      <c r="B1126" s="12" t="s">
        <v>2164</v>
      </c>
      <c r="C1126" s="12" t="s">
        <v>22</v>
      </c>
      <c r="D1126" s="13"/>
      <c r="E1126" s="14" t="s">
        <v>2165</v>
      </c>
      <c r="F1126" s="15" t="s">
        <v>24</v>
      </c>
      <c r="G1126" s="16"/>
      <c r="H1126" s="36">
        <v>3522.5</v>
      </c>
      <c r="I1126" s="36">
        <f>ROUND(H1126-(H1126*I2/100),2)</f>
        <v>3522.5</v>
      </c>
      <c r="J1126" s="17">
        <v>84</v>
      </c>
      <c r="K1126" s="18"/>
      <c r="L1126" s="18"/>
      <c r="M1126" s="20"/>
      <c r="N1126" s="37">
        <f>I1126*M1126</f>
        <v>0</v>
      </c>
      <c r="O1126" s="21">
        <v>1.1000000000000001</v>
      </c>
      <c r="P1126" s="22">
        <v>3.46E-3</v>
      </c>
    </row>
    <row r="1127" spans="1:16" s="1" customFormat="1" ht="119.1" customHeight="1" outlineLevel="3" x14ac:dyDescent="0.2">
      <c r="A1127" s="11">
        <v>141816</v>
      </c>
      <c r="B1127" s="12" t="s">
        <v>2166</v>
      </c>
      <c r="C1127" s="12" t="s">
        <v>22</v>
      </c>
      <c r="D1127" s="13"/>
      <c r="E1127" s="14" t="s">
        <v>2167</v>
      </c>
      <c r="F1127" s="15" t="s">
        <v>24</v>
      </c>
      <c r="G1127" s="16"/>
      <c r="H1127" s="36">
        <v>2565.3000000000002</v>
      </c>
      <c r="I1127" s="36">
        <f>ROUND(H1127-(H1127*I2/100),2)</f>
        <v>2565.3000000000002</v>
      </c>
      <c r="J1127" s="17">
        <v>312</v>
      </c>
      <c r="K1127" s="18"/>
      <c r="L1127" s="18"/>
      <c r="M1127" s="20"/>
      <c r="N1127" s="37">
        <f>I1127*M1127</f>
        <v>0</v>
      </c>
      <c r="O1127" s="21">
        <v>1.375</v>
      </c>
      <c r="P1127" s="22">
        <v>8.3929999999999994E-3</v>
      </c>
    </row>
    <row r="1128" spans="1:16" s="1" customFormat="1" ht="119.1" customHeight="1" outlineLevel="3" x14ac:dyDescent="0.2">
      <c r="A1128" s="11">
        <v>165152</v>
      </c>
      <c r="B1128" s="12" t="s">
        <v>2168</v>
      </c>
      <c r="C1128" s="12" t="s">
        <v>22</v>
      </c>
      <c r="D1128" s="13"/>
      <c r="E1128" s="14" t="s">
        <v>2169</v>
      </c>
      <c r="F1128" s="15" t="s">
        <v>24</v>
      </c>
      <c r="G1128" s="16"/>
      <c r="H1128" s="36">
        <v>3568</v>
      </c>
      <c r="I1128" s="36">
        <f>ROUND(H1128-(H1128*I2/100),2)</f>
        <v>3568</v>
      </c>
      <c r="J1128" s="17">
        <v>198</v>
      </c>
      <c r="K1128" s="18"/>
      <c r="L1128" s="18"/>
      <c r="M1128" s="20"/>
      <c r="N1128" s="37">
        <f>I1128*M1128</f>
        <v>0</v>
      </c>
      <c r="O1128" s="21">
        <v>2.5</v>
      </c>
      <c r="P1128" s="22">
        <v>1.4628E-2</v>
      </c>
    </row>
    <row r="1129" spans="1:16" s="1" customFormat="1" ht="119.1" customHeight="1" outlineLevel="3" x14ac:dyDescent="0.2">
      <c r="A1129" s="11">
        <v>219327</v>
      </c>
      <c r="B1129" s="12" t="s">
        <v>2170</v>
      </c>
      <c r="C1129" s="12" t="s">
        <v>50</v>
      </c>
      <c r="D1129" s="13"/>
      <c r="E1129" s="14" t="s">
        <v>2171</v>
      </c>
      <c r="F1129" s="15" t="s">
        <v>24</v>
      </c>
      <c r="G1129" s="16"/>
      <c r="H1129" s="36">
        <v>1951</v>
      </c>
      <c r="I1129" s="36">
        <f>ROUND(H1129-(H1129*I2/100),2)</f>
        <v>1951</v>
      </c>
      <c r="J1129" s="17">
        <v>205</v>
      </c>
      <c r="K1129" s="18"/>
      <c r="L1129" s="18"/>
      <c r="M1129" s="20"/>
      <c r="N1129" s="37">
        <f>I1129*M1129</f>
        <v>0</v>
      </c>
      <c r="O1129" s="21">
        <v>1.1379999999999999</v>
      </c>
      <c r="P1129" s="22">
        <v>8.3929999999999994E-3</v>
      </c>
    </row>
    <row r="1130" spans="1:16" s="8" customFormat="1" ht="15.95" customHeight="1" outlineLevel="2" x14ac:dyDescent="0.25">
      <c r="A1130" s="9"/>
      <c r="B1130" s="10"/>
      <c r="C1130" s="10"/>
      <c r="D1130" s="10" t="s">
        <v>2172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</row>
    <row r="1131" spans="1:16" s="1" customFormat="1" ht="119.1" customHeight="1" outlineLevel="3" x14ac:dyDescent="0.2">
      <c r="A1131" s="11">
        <v>214502</v>
      </c>
      <c r="B1131" s="12" t="s">
        <v>2173</v>
      </c>
      <c r="C1131" s="12" t="s">
        <v>22</v>
      </c>
      <c r="D1131" s="13"/>
      <c r="E1131" s="14" t="s">
        <v>2174</v>
      </c>
      <c r="F1131" s="15" t="s">
        <v>113</v>
      </c>
      <c r="G1131" s="16"/>
      <c r="H1131" s="36">
        <v>445.3</v>
      </c>
      <c r="I1131" s="36">
        <f>ROUND(H1131-(H1131*I2/100),2)</f>
        <v>445.3</v>
      </c>
      <c r="J1131" s="17">
        <v>152</v>
      </c>
      <c r="K1131" s="18"/>
      <c r="L1131" s="18"/>
      <c r="M1131" s="20"/>
      <c r="N1131" s="37">
        <f t="shared" ref="N1131:N1140" si="50">I1131*M1131</f>
        <v>0</v>
      </c>
      <c r="O1131" s="21">
        <v>0.67</v>
      </c>
      <c r="P1131" s="22">
        <v>2.4000000000000001E-4</v>
      </c>
    </row>
    <row r="1132" spans="1:16" s="1" customFormat="1" ht="119.1" customHeight="1" outlineLevel="3" x14ac:dyDescent="0.2">
      <c r="A1132" s="11">
        <v>219276</v>
      </c>
      <c r="B1132" s="12" t="s">
        <v>2175</v>
      </c>
      <c r="C1132" s="12" t="s">
        <v>22</v>
      </c>
      <c r="D1132" s="13"/>
      <c r="E1132" s="14" t="s">
        <v>2176</v>
      </c>
      <c r="F1132" s="15" t="s">
        <v>113</v>
      </c>
      <c r="G1132" s="16"/>
      <c r="H1132" s="36">
        <v>585.20000000000005</v>
      </c>
      <c r="I1132" s="36">
        <f>ROUND(H1132-(H1132*I2/100),2)</f>
        <v>585.20000000000005</v>
      </c>
      <c r="J1132" s="17">
        <v>108</v>
      </c>
      <c r="K1132" s="18"/>
      <c r="L1132" s="18"/>
      <c r="M1132" s="20"/>
      <c r="N1132" s="37">
        <f t="shared" si="50"/>
        <v>0</v>
      </c>
      <c r="O1132" s="21">
        <v>0.2</v>
      </c>
      <c r="P1132" s="22">
        <v>2E-3</v>
      </c>
    </row>
    <row r="1133" spans="1:16" s="1" customFormat="1" ht="119.1" customHeight="1" outlineLevel="3" x14ac:dyDescent="0.2">
      <c r="A1133" s="11">
        <v>203621</v>
      </c>
      <c r="B1133" s="12" t="s">
        <v>2177</v>
      </c>
      <c r="C1133" s="12" t="s">
        <v>22</v>
      </c>
      <c r="D1133" s="13"/>
      <c r="E1133" s="14" t="s">
        <v>2178</v>
      </c>
      <c r="F1133" s="15" t="s">
        <v>113</v>
      </c>
      <c r="G1133" s="16"/>
      <c r="H1133" s="36">
        <v>830.2</v>
      </c>
      <c r="I1133" s="36">
        <f>ROUND(H1133-(H1133*I2/100),2)</f>
        <v>830.2</v>
      </c>
      <c r="J1133" s="17">
        <v>244</v>
      </c>
      <c r="K1133" s="18"/>
      <c r="L1133" s="18"/>
      <c r="M1133" s="20"/>
      <c r="N1133" s="37">
        <f t="shared" si="50"/>
        <v>0</v>
      </c>
      <c r="O1133" s="21">
        <v>0.3</v>
      </c>
      <c r="P1133" s="22">
        <v>2E-3</v>
      </c>
    </row>
    <row r="1134" spans="1:16" s="1" customFormat="1" ht="119.1" customHeight="1" outlineLevel="3" x14ac:dyDescent="0.2">
      <c r="A1134" s="11">
        <v>138590</v>
      </c>
      <c r="B1134" s="12" t="s">
        <v>2179</v>
      </c>
      <c r="C1134" s="12" t="s">
        <v>22</v>
      </c>
      <c r="D1134" s="13"/>
      <c r="E1134" s="14" t="s">
        <v>2180</v>
      </c>
      <c r="F1134" s="15" t="s">
        <v>24</v>
      </c>
      <c r="G1134" s="16"/>
      <c r="H1134" s="36">
        <v>3243.6</v>
      </c>
      <c r="I1134" s="36">
        <f>ROUND(H1134-(H1134*I2/100),2)</f>
        <v>3243.6</v>
      </c>
      <c r="J1134" s="17">
        <v>68</v>
      </c>
      <c r="K1134" s="18"/>
      <c r="L1134" s="18"/>
      <c r="M1134" s="20"/>
      <c r="N1134" s="37">
        <f t="shared" si="50"/>
        <v>0</v>
      </c>
      <c r="O1134" s="21">
        <v>2.2000000000000002</v>
      </c>
      <c r="P1134" s="22">
        <v>4.1339999999999997E-3</v>
      </c>
    </row>
    <row r="1135" spans="1:16" s="1" customFormat="1" ht="119.1" customHeight="1" outlineLevel="3" x14ac:dyDescent="0.2">
      <c r="A1135" s="11">
        <v>219990</v>
      </c>
      <c r="B1135" s="12" t="s">
        <v>2181</v>
      </c>
      <c r="C1135" s="12" t="s">
        <v>50</v>
      </c>
      <c r="D1135" s="28"/>
      <c r="E1135" s="29" t="s">
        <v>2182</v>
      </c>
      <c r="F1135" s="30" t="s">
        <v>24</v>
      </c>
      <c r="G1135" s="31" t="s">
        <v>209</v>
      </c>
      <c r="H1135" s="36">
        <v>2135.8000000000002</v>
      </c>
      <c r="I1135" s="36">
        <f>ROUND(H1135-(H1135*I2/100),2)</f>
        <v>2135.8000000000002</v>
      </c>
      <c r="J1135" s="17">
        <v>127</v>
      </c>
      <c r="K1135" s="18"/>
      <c r="L1135" s="18"/>
      <c r="M1135" s="20"/>
      <c r="N1135" s="37">
        <f t="shared" si="50"/>
        <v>0</v>
      </c>
      <c r="O1135" s="21">
        <v>1.8</v>
      </c>
      <c r="P1135" s="22">
        <v>3.5490000000000001E-3</v>
      </c>
    </row>
    <row r="1136" spans="1:16" s="1" customFormat="1" ht="119.1" customHeight="1" outlineLevel="3" x14ac:dyDescent="0.2">
      <c r="A1136" s="11">
        <v>199647</v>
      </c>
      <c r="B1136" s="12" t="s">
        <v>2183</v>
      </c>
      <c r="C1136" s="12" t="s">
        <v>22</v>
      </c>
      <c r="D1136" s="13"/>
      <c r="E1136" s="14" t="s">
        <v>2184</v>
      </c>
      <c r="F1136" s="15" t="s">
        <v>24</v>
      </c>
      <c r="G1136" s="16"/>
      <c r="H1136" s="36">
        <v>15328.2</v>
      </c>
      <c r="I1136" s="36">
        <f>ROUND(H1136-(H1136*I2/100),2)</f>
        <v>15328.2</v>
      </c>
      <c r="J1136" s="17">
        <v>9</v>
      </c>
      <c r="K1136" s="18"/>
      <c r="L1136" s="18"/>
      <c r="M1136" s="20"/>
      <c r="N1136" s="37">
        <f t="shared" si="50"/>
        <v>0</v>
      </c>
      <c r="O1136" s="21">
        <v>3.2</v>
      </c>
      <c r="P1136" s="22">
        <v>1.7680000000000001E-2</v>
      </c>
    </row>
    <row r="1137" spans="1:16" s="1" customFormat="1" ht="119.1" customHeight="1" outlineLevel="3" x14ac:dyDescent="0.2">
      <c r="A1137" s="11">
        <v>212478</v>
      </c>
      <c r="B1137" s="12" t="s">
        <v>2185</v>
      </c>
      <c r="C1137" s="12" t="s">
        <v>22</v>
      </c>
      <c r="D1137" s="13"/>
      <c r="E1137" s="14" t="s">
        <v>2186</v>
      </c>
      <c r="F1137" s="15" t="s">
        <v>24</v>
      </c>
      <c r="G1137" s="16"/>
      <c r="H1137" s="36">
        <v>12322.8</v>
      </c>
      <c r="I1137" s="36">
        <f>ROUND(H1137-(H1137*I2/100),2)</f>
        <v>12322.8</v>
      </c>
      <c r="J1137" s="17">
        <v>7</v>
      </c>
      <c r="K1137" s="18"/>
      <c r="L1137" s="18"/>
      <c r="M1137" s="20"/>
      <c r="N1137" s="37">
        <f t="shared" si="50"/>
        <v>0</v>
      </c>
      <c r="O1137" s="21">
        <v>4</v>
      </c>
      <c r="P1137" s="22">
        <v>2.2372E-2</v>
      </c>
    </row>
    <row r="1138" spans="1:16" s="1" customFormat="1" ht="119.1" customHeight="1" outlineLevel="3" x14ac:dyDescent="0.2">
      <c r="A1138" s="11">
        <v>190504</v>
      </c>
      <c r="B1138" s="12" t="s">
        <v>2187</v>
      </c>
      <c r="C1138" s="12" t="s">
        <v>22</v>
      </c>
      <c r="D1138" s="13"/>
      <c r="E1138" s="14" t="s">
        <v>2188</v>
      </c>
      <c r="F1138" s="15" t="s">
        <v>24</v>
      </c>
      <c r="G1138" s="16"/>
      <c r="H1138" s="36">
        <v>11481.5</v>
      </c>
      <c r="I1138" s="36">
        <f>ROUND(H1138-(H1138*I2/100),2)</f>
        <v>11481.5</v>
      </c>
      <c r="J1138" s="17">
        <v>1</v>
      </c>
      <c r="K1138" s="18"/>
      <c r="L1138" s="18"/>
      <c r="M1138" s="20"/>
      <c r="N1138" s="37">
        <f t="shared" si="50"/>
        <v>0</v>
      </c>
      <c r="O1138" s="21">
        <v>2.0329999999999999</v>
      </c>
      <c r="P1138" s="22">
        <v>6.3359999999999996E-3</v>
      </c>
    </row>
    <row r="1139" spans="1:16" s="1" customFormat="1" ht="119.1" customHeight="1" outlineLevel="3" x14ac:dyDescent="0.2">
      <c r="A1139" s="11">
        <v>205462</v>
      </c>
      <c r="B1139" s="12" t="s">
        <v>2189</v>
      </c>
      <c r="C1139" s="12" t="s">
        <v>22</v>
      </c>
      <c r="D1139" s="13"/>
      <c r="E1139" s="14" t="s">
        <v>2190</v>
      </c>
      <c r="F1139" s="15" t="s">
        <v>24</v>
      </c>
      <c r="G1139" s="16"/>
      <c r="H1139" s="36">
        <v>13245.9</v>
      </c>
      <c r="I1139" s="36">
        <f>ROUND(H1139-(H1139*I2/100),2)</f>
        <v>13245.9</v>
      </c>
      <c r="J1139" s="17">
        <v>1</v>
      </c>
      <c r="K1139" s="18"/>
      <c r="L1139" s="18"/>
      <c r="M1139" s="20"/>
      <c r="N1139" s="37">
        <f t="shared" si="50"/>
        <v>0</v>
      </c>
      <c r="O1139" s="21">
        <v>1.75</v>
      </c>
      <c r="P1139" s="22">
        <v>1.7680000000000001E-2</v>
      </c>
    </row>
    <row r="1140" spans="1:16" s="1" customFormat="1" ht="119.1" customHeight="1" outlineLevel="3" x14ac:dyDescent="0.2">
      <c r="A1140" s="11">
        <v>203705</v>
      </c>
      <c r="B1140" s="12" t="s">
        <v>2191</v>
      </c>
      <c r="C1140" s="12" t="s">
        <v>22</v>
      </c>
      <c r="D1140" s="13"/>
      <c r="E1140" s="14" t="s">
        <v>2192</v>
      </c>
      <c r="F1140" s="15" t="s">
        <v>113</v>
      </c>
      <c r="G1140" s="16"/>
      <c r="H1140" s="36">
        <v>417.2</v>
      </c>
      <c r="I1140" s="36">
        <f>ROUND(H1140-(H1140*I2/100),2)</f>
        <v>417.2</v>
      </c>
      <c r="J1140" s="17">
        <v>423</v>
      </c>
      <c r="K1140" s="18"/>
      <c r="L1140" s="18"/>
      <c r="M1140" s="20"/>
      <c r="N1140" s="37">
        <f t="shared" si="50"/>
        <v>0</v>
      </c>
      <c r="O1140" s="21">
        <v>0.7</v>
      </c>
      <c r="P1140" s="22">
        <v>1.92E-4</v>
      </c>
    </row>
    <row r="1141" spans="1:16" s="8" customFormat="1" ht="15.95" customHeight="1" outlineLevel="2" x14ac:dyDescent="0.25">
      <c r="A1141" s="9"/>
      <c r="B1141" s="10"/>
      <c r="C1141" s="10"/>
      <c r="D1141" s="10" t="s">
        <v>2193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</row>
    <row r="1142" spans="1:16" s="1" customFormat="1" ht="119.1" customHeight="1" outlineLevel="3" x14ac:dyDescent="0.2">
      <c r="A1142" s="11">
        <v>188250</v>
      </c>
      <c r="B1142" s="12" t="s">
        <v>2194</v>
      </c>
      <c r="C1142" s="12" t="s">
        <v>22</v>
      </c>
      <c r="D1142" s="23"/>
      <c r="E1142" s="24" t="s">
        <v>2195</v>
      </c>
      <c r="F1142" s="25" t="s">
        <v>24</v>
      </c>
      <c r="G1142" s="26" t="s">
        <v>39</v>
      </c>
      <c r="H1142" s="36">
        <v>9625.7199999999993</v>
      </c>
      <c r="I1142" s="36">
        <f>H1142</f>
        <v>9625.7199999999993</v>
      </c>
      <c r="J1142" s="17">
        <v>10</v>
      </c>
      <c r="K1142" s="18"/>
      <c r="L1142" s="18"/>
      <c r="M1142" s="20"/>
      <c r="N1142" s="37">
        <f>I1142*M1142</f>
        <v>0</v>
      </c>
      <c r="O1142" s="21">
        <v>12.3</v>
      </c>
      <c r="P1142" s="22">
        <v>2.9981000000000001E-2</v>
      </c>
    </row>
    <row r="1143" spans="1:16" s="8" customFormat="1" ht="15.95" customHeight="1" outlineLevel="2" x14ac:dyDescent="0.25">
      <c r="A1143" s="9"/>
      <c r="B1143" s="10"/>
      <c r="C1143" s="10"/>
      <c r="D1143" s="10" t="s">
        <v>2196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</row>
    <row r="1144" spans="1:16" s="1" customFormat="1" ht="119.1" customHeight="1" outlineLevel="3" x14ac:dyDescent="0.2">
      <c r="A1144" s="11">
        <v>208243</v>
      </c>
      <c r="B1144" s="12" t="s">
        <v>2197</v>
      </c>
      <c r="C1144" s="12" t="s">
        <v>22</v>
      </c>
      <c r="D1144" s="23"/>
      <c r="E1144" s="24" t="s">
        <v>2198</v>
      </c>
      <c r="F1144" s="25" t="s">
        <v>24</v>
      </c>
      <c r="G1144" s="26" t="s">
        <v>39</v>
      </c>
      <c r="H1144" s="36">
        <v>22047.03</v>
      </c>
      <c r="I1144" s="36">
        <f>H1144</f>
        <v>22047.03</v>
      </c>
      <c r="J1144" s="17">
        <v>5</v>
      </c>
      <c r="K1144" s="18"/>
      <c r="L1144" s="18"/>
      <c r="M1144" s="20"/>
      <c r="N1144" s="37">
        <f t="shared" ref="N1144:N1152" si="51">I1144*M1144</f>
        <v>0</v>
      </c>
      <c r="O1144" s="21">
        <v>8.3000000000000007</v>
      </c>
      <c r="P1144" s="22">
        <v>3.8502000000000002E-2</v>
      </c>
    </row>
    <row r="1145" spans="1:16" s="1" customFormat="1" ht="119.1" customHeight="1" outlineLevel="3" x14ac:dyDescent="0.2">
      <c r="A1145" s="11">
        <v>208667</v>
      </c>
      <c r="B1145" s="12" t="s">
        <v>2199</v>
      </c>
      <c r="C1145" s="12" t="s">
        <v>22</v>
      </c>
      <c r="D1145" s="23"/>
      <c r="E1145" s="24" t="s">
        <v>2200</v>
      </c>
      <c r="F1145" s="25" t="s">
        <v>24</v>
      </c>
      <c r="G1145" s="26" t="s">
        <v>39</v>
      </c>
      <c r="H1145" s="36">
        <v>20884.59</v>
      </c>
      <c r="I1145" s="36">
        <f>H1145</f>
        <v>20884.59</v>
      </c>
      <c r="J1145" s="17">
        <v>31</v>
      </c>
      <c r="K1145" s="18"/>
      <c r="L1145" s="18"/>
      <c r="M1145" s="20"/>
      <c r="N1145" s="37">
        <f t="shared" si="51"/>
        <v>0</v>
      </c>
      <c r="O1145" s="21">
        <v>2.66</v>
      </c>
      <c r="P1145" s="22">
        <v>7.4250000000000002E-3</v>
      </c>
    </row>
    <row r="1146" spans="1:16" s="1" customFormat="1" ht="119.1" customHeight="1" outlineLevel="3" x14ac:dyDescent="0.2">
      <c r="A1146" s="11">
        <v>214984</v>
      </c>
      <c r="B1146" s="12" t="s">
        <v>2201</v>
      </c>
      <c r="C1146" s="12" t="s">
        <v>22</v>
      </c>
      <c r="D1146" s="13"/>
      <c r="E1146" s="14" t="s">
        <v>2202</v>
      </c>
      <c r="F1146" s="15" t="s">
        <v>24</v>
      </c>
      <c r="G1146" s="16"/>
      <c r="H1146" s="36">
        <v>19016.3</v>
      </c>
      <c r="I1146" s="36">
        <f>ROUND(H1146-(H1146*I2/100),2)</f>
        <v>19016.3</v>
      </c>
      <c r="J1146" s="17">
        <v>197</v>
      </c>
      <c r="K1146" s="18"/>
      <c r="L1146" s="18"/>
      <c r="M1146" s="20"/>
      <c r="N1146" s="37">
        <f t="shared" si="51"/>
        <v>0</v>
      </c>
      <c r="O1146" s="21">
        <v>5</v>
      </c>
      <c r="P1146" s="22">
        <v>5.0000000000000001E-3</v>
      </c>
    </row>
    <row r="1147" spans="1:16" s="1" customFormat="1" ht="119.1" customHeight="1" outlineLevel="3" x14ac:dyDescent="0.2">
      <c r="A1147" s="11">
        <v>208986</v>
      </c>
      <c r="B1147" s="12" t="s">
        <v>2203</v>
      </c>
      <c r="C1147" s="12" t="s">
        <v>22</v>
      </c>
      <c r="D1147" s="23"/>
      <c r="E1147" s="24" t="s">
        <v>2204</v>
      </c>
      <c r="F1147" s="25" t="s">
        <v>24</v>
      </c>
      <c r="G1147" s="26" t="s">
        <v>39</v>
      </c>
      <c r="H1147" s="36">
        <v>11483.73</v>
      </c>
      <c r="I1147" s="36">
        <f>H1147</f>
        <v>11483.73</v>
      </c>
      <c r="J1147" s="17">
        <v>15</v>
      </c>
      <c r="K1147" s="18"/>
      <c r="L1147" s="18"/>
      <c r="M1147" s="20"/>
      <c r="N1147" s="37">
        <f t="shared" si="51"/>
        <v>0</v>
      </c>
      <c r="O1147" s="21">
        <v>3.65</v>
      </c>
      <c r="P1147" s="22">
        <v>1.4168E-2</v>
      </c>
    </row>
    <row r="1148" spans="1:16" s="1" customFormat="1" ht="119.1" customHeight="1" outlineLevel="3" x14ac:dyDescent="0.2">
      <c r="A1148" s="11">
        <v>208985</v>
      </c>
      <c r="B1148" s="12" t="s">
        <v>2205</v>
      </c>
      <c r="C1148" s="12" t="s">
        <v>22</v>
      </c>
      <c r="D1148" s="23"/>
      <c r="E1148" s="24" t="s">
        <v>2206</v>
      </c>
      <c r="F1148" s="25" t="s">
        <v>24</v>
      </c>
      <c r="G1148" s="26" t="s">
        <v>39</v>
      </c>
      <c r="H1148" s="36">
        <v>8488.7099999999991</v>
      </c>
      <c r="I1148" s="36">
        <f>H1148</f>
        <v>8488.7099999999991</v>
      </c>
      <c r="J1148" s="17">
        <v>17</v>
      </c>
      <c r="K1148" s="18"/>
      <c r="L1148" s="18"/>
      <c r="M1148" s="20"/>
      <c r="N1148" s="37">
        <f t="shared" si="51"/>
        <v>0</v>
      </c>
      <c r="O1148" s="21">
        <v>3.4</v>
      </c>
      <c r="P1148" s="22">
        <v>1.9199999999999998E-2</v>
      </c>
    </row>
    <row r="1149" spans="1:16" s="1" customFormat="1" ht="119.1" customHeight="1" outlineLevel="3" x14ac:dyDescent="0.2">
      <c r="A1149" s="11">
        <v>219994</v>
      </c>
      <c r="B1149" s="12" t="s">
        <v>2207</v>
      </c>
      <c r="C1149" s="12" t="s">
        <v>50</v>
      </c>
      <c r="D1149" s="28"/>
      <c r="E1149" s="29" t="s">
        <v>2208</v>
      </c>
      <c r="F1149" s="30" t="s">
        <v>24</v>
      </c>
      <c r="G1149" s="31" t="s">
        <v>209</v>
      </c>
      <c r="H1149" s="36">
        <v>11830.8</v>
      </c>
      <c r="I1149" s="36">
        <f>ROUND(H1149-(H1149*I2/100),2)</f>
        <v>11830.8</v>
      </c>
      <c r="J1149" s="17">
        <v>126</v>
      </c>
      <c r="K1149" s="18"/>
      <c r="L1149" s="18"/>
      <c r="M1149" s="20"/>
      <c r="N1149" s="37">
        <f t="shared" si="51"/>
        <v>0</v>
      </c>
      <c r="O1149" s="21">
        <v>6.625</v>
      </c>
      <c r="P1149" s="22">
        <v>1.8891000000000002E-2</v>
      </c>
    </row>
    <row r="1150" spans="1:16" s="1" customFormat="1" ht="119.1" customHeight="1" outlineLevel="3" x14ac:dyDescent="0.2">
      <c r="A1150" s="11">
        <v>208895</v>
      </c>
      <c r="B1150" s="12" t="s">
        <v>2209</v>
      </c>
      <c r="C1150" s="12" t="s">
        <v>22</v>
      </c>
      <c r="D1150" s="13"/>
      <c r="E1150" s="14" t="s">
        <v>2210</v>
      </c>
      <c r="F1150" s="15" t="s">
        <v>24</v>
      </c>
      <c r="G1150" s="16"/>
      <c r="H1150" s="36">
        <v>13122.3</v>
      </c>
      <c r="I1150" s="36">
        <f>ROUND(H1150-(H1150*I2/100),2)</f>
        <v>13122.3</v>
      </c>
      <c r="J1150" s="17">
        <v>220</v>
      </c>
      <c r="K1150" s="18"/>
      <c r="L1150" s="18"/>
      <c r="M1150" s="20"/>
      <c r="N1150" s="37">
        <f t="shared" si="51"/>
        <v>0</v>
      </c>
      <c r="O1150" s="21">
        <v>5.0949999999999998</v>
      </c>
      <c r="P1150" s="22">
        <v>1.5599999999999999E-2</v>
      </c>
    </row>
    <row r="1151" spans="1:16" s="1" customFormat="1" ht="119.1" customHeight="1" outlineLevel="3" x14ac:dyDescent="0.2">
      <c r="A1151" s="11">
        <v>221521</v>
      </c>
      <c r="B1151" s="12" t="s">
        <v>2211</v>
      </c>
      <c r="C1151" s="12" t="s">
        <v>22</v>
      </c>
      <c r="D1151" s="32"/>
      <c r="E1151" s="33" t="s">
        <v>2212</v>
      </c>
      <c r="F1151" s="34" t="s">
        <v>24</v>
      </c>
      <c r="G1151" s="35" t="s">
        <v>2213</v>
      </c>
      <c r="H1151" s="36">
        <v>23510.5</v>
      </c>
      <c r="I1151" s="36">
        <f>ROUND(H1151-(H1151*I2/100),2)</f>
        <v>23510.5</v>
      </c>
      <c r="J1151" s="18"/>
      <c r="K1151" s="17">
        <v>36</v>
      </c>
      <c r="L1151" s="19" t="s">
        <v>2214</v>
      </c>
      <c r="M1151" s="20"/>
      <c r="N1151" s="37">
        <f t="shared" si="51"/>
        <v>0</v>
      </c>
      <c r="O1151" s="21">
        <v>5</v>
      </c>
      <c r="P1151" s="22">
        <v>2E-3</v>
      </c>
    </row>
    <row r="1152" spans="1:16" s="1" customFormat="1" ht="119.1" customHeight="1" outlineLevel="3" x14ac:dyDescent="0.2">
      <c r="A1152" s="11">
        <v>201237</v>
      </c>
      <c r="B1152" s="12" t="s">
        <v>2215</v>
      </c>
      <c r="C1152" s="12" t="s">
        <v>22</v>
      </c>
      <c r="D1152" s="13"/>
      <c r="E1152" s="14" t="s">
        <v>2216</v>
      </c>
      <c r="F1152" s="15" t="s">
        <v>24</v>
      </c>
      <c r="G1152" s="16"/>
      <c r="H1152" s="36">
        <v>15657.3</v>
      </c>
      <c r="I1152" s="36">
        <f>ROUND(H1152-(H1152*I2/100),2)</f>
        <v>15657.3</v>
      </c>
      <c r="J1152" s="17">
        <v>68</v>
      </c>
      <c r="K1152" s="18"/>
      <c r="L1152" s="18"/>
      <c r="M1152" s="20"/>
      <c r="N1152" s="37">
        <f t="shared" si="51"/>
        <v>0</v>
      </c>
      <c r="O1152" s="21">
        <v>6.3</v>
      </c>
      <c r="P1152" s="22">
        <v>2.2848E-2</v>
      </c>
    </row>
    <row r="1153" spans="1:16" s="8" customFormat="1" ht="15.95" customHeight="1" outlineLevel="2" x14ac:dyDescent="0.25">
      <c r="A1153" s="9"/>
      <c r="B1153" s="10"/>
      <c r="C1153" s="10"/>
      <c r="D1153" s="10" t="s">
        <v>2217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</row>
    <row r="1154" spans="1:16" s="1" customFormat="1" ht="119.1" customHeight="1" outlineLevel="3" x14ac:dyDescent="0.2">
      <c r="A1154" s="11">
        <v>199803</v>
      </c>
      <c r="B1154" s="12" t="s">
        <v>2218</v>
      </c>
      <c r="C1154" s="12" t="s">
        <v>22</v>
      </c>
      <c r="D1154" s="13"/>
      <c r="E1154" s="14" t="s">
        <v>2219</v>
      </c>
      <c r="F1154" s="15" t="s">
        <v>24</v>
      </c>
      <c r="G1154" s="16"/>
      <c r="H1154" s="36">
        <v>11151.6</v>
      </c>
      <c r="I1154" s="36">
        <f>ROUND(H1154-(H1154*I2/100),2)</f>
        <v>11151.6</v>
      </c>
      <c r="J1154" s="17">
        <v>5</v>
      </c>
      <c r="K1154" s="18"/>
      <c r="L1154" s="18"/>
      <c r="M1154" s="20"/>
      <c r="N1154" s="37">
        <f>I1154*M1154</f>
        <v>0</v>
      </c>
      <c r="O1154" s="21">
        <v>10</v>
      </c>
      <c r="P1154" s="22">
        <v>2.9951999999999999E-2</v>
      </c>
    </row>
    <row r="1155" spans="1:16" s="1" customFormat="1" ht="119.1" customHeight="1" outlineLevel="3" x14ac:dyDescent="0.2">
      <c r="A1155" s="11">
        <v>184300</v>
      </c>
      <c r="B1155" s="12" t="s">
        <v>2220</v>
      </c>
      <c r="C1155" s="12" t="s">
        <v>22</v>
      </c>
      <c r="D1155" s="13"/>
      <c r="E1155" s="14" t="s">
        <v>2221</v>
      </c>
      <c r="F1155" s="15" t="s">
        <v>24</v>
      </c>
      <c r="G1155" s="16"/>
      <c r="H1155" s="36">
        <v>24748.5</v>
      </c>
      <c r="I1155" s="36">
        <f>ROUND(H1155-(H1155*I2/100),2)</f>
        <v>24748.5</v>
      </c>
      <c r="J1155" s="17">
        <v>4</v>
      </c>
      <c r="K1155" s="18"/>
      <c r="L1155" s="18"/>
      <c r="M1155" s="20"/>
      <c r="N1155" s="37">
        <f>I1155*M1155</f>
        <v>0</v>
      </c>
      <c r="O1155" s="21">
        <v>16</v>
      </c>
      <c r="P1155" s="22">
        <v>5.5341000000000001E-2</v>
      </c>
    </row>
    <row r="1156" spans="1:16" s="1" customFormat="1" ht="119.1" customHeight="1" outlineLevel="3" x14ac:dyDescent="0.2">
      <c r="A1156" s="11">
        <v>179635</v>
      </c>
      <c r="B1156" s="12" t="s">
        <v>2222</v>
      </c>
      <c r="C1156" s="12" t="s">
        <v>22</v>
      </c>
      <c r="D1156" s="13"/>
      <c r="E1156" s="14" t="s">
        <v>2223</v>
      </c>
      <c r="F1156" s="15" t="s">
        <v>24</v>
      </c>
      <c r="G1156" s="16"/>
      <c r="H1156" s="36">
        <v>21979.8</v>
      </c>
      <c r="I1156" s="36">
        <f>ROUND(H1156-(H1156*I2/100),2)</f>
        <v>21979.8</v>
      </c>
      <c r="J1156" s="17">
        <v>7</v>
      </c>
      <c r="K1156" s="18"/>
      <c r="L1156" s="18"/>
      <c r="M1156" s="20"/>
      <c r="N1156" s="37">
        <f>I1156*M1156</f>
        <v>0</v>
      </c>
      <c r="O1156" s="21">
        <v>23</v>
      </c>
      <c r="P1156" s="22">
        <v>5.5440000000000003E-2</v>
      </c>
    </row>
    <row r="1157" spans="1:16" s="1" customFormat="1" ht="119.1" customHeight="1" outlineLevel="3" x14ac:dyDescent="0.2">
      <c r="A1157" s="11">
        <v>199804</v>
      </c>
      <c r="B1157" s="12" t="s">
        <v>2224</v>
      </c>
      <c r="C1157" s="12" t="s">
        <v>22</v>
      </c>
      <c r="D1157" s="13"/>
      <c r="E1157" s="14" t="s">
        <v>2225</v>
      </c>
      <c r="F1157" s="15" t="s">
        <v>24</v>
      </c>
      <c r="G1157" s="16"/>
      <c r="H1157" s="36">
        <v>18601.2</v>
      </c>
      <c r="I1157" s="36">
        <f>ROUND(H1157-(H1157*I2/100),2)</f>
        <v>18601.2</v>
      </c>
      <c r="J1157" s="17">
        <v>5</v>
      </c>
      <c r="K1157" s="18"/>
      <c r="L1157" s="18"/>
      <c r="M1157" s="20"/>
      <c r="N1157" s="37">
        <f>I1157*M1157</f>
        <v>0</v>
      </c>
      <c r="O1157" s="21">
        <v>22</v>
      </c>
      <c r="P1157" s="22">
        <v>5.6524999999999999E-2</v>
      </c>
    </row>
    <row r="1158" spans="1:16" s="8" customFormat="1" ht="15.95" customHeight="1" outlineLevel="2" x14ac:dyDescent="0.25">
      <c r="A1158" s="9"/>
      <c r="B1158" s="10"/>
      <c r="C1158" s="10"/>
      <c r="D1158" s="10" t="s">
        <v>2226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</row>
    <row r="1159" spans="1:16" s="1" customFormat="1" ht="119.1" customHeight="1" outlineLevel="3" x14ac:dyDescent="0.2">
      <c r="A1159" s="11">
        <v>220370</v>
      </c>
      <c r="B1159" s="12" t="s">
        <v>2227</v>
      </c>
      <c r="C1159" s="12" t="s">
        <v>22</v>
      </c>
      <c r="D1159" s="28"/>
      <c r="E1159" s="29" t="s">
        <v>2228</v>
      </c>
      <c r="F1159" s="30" t="s">
        <v>24</v>
      </c>
      <c r="G1159" s="31" t="s">
        <v>209</v>
      </c>
      <c r="H1159" s="36">
        <v>2780.7</v>
      </c>
      <c r="I1159" s="36">
        <f>ROUND(H1159-(H1159*I2/100),2)</f>
        <v>2780.7</v>
      </c>
      <c r="J1159" s="17">
        <v>9</v>
      </c>
      <c r="K1159" s="17">
        <v>5</v>
      </c>
      <c r="L1159" s="19" t="s">
        <v>2214</v>
      </c>
      <c r="M1159" s="20"/>
      <c r="N1159" s="37">
        <f t="shared" ref="N1159:N1182" si="52">I1159*M1159</f>
        <v>0</v>
      </c>
      <c r="O1159" s="21">
        <v>2</v>
      </c>
      <c r="P1159" s="22">
        <v>1E-3</v>
      </c>
    </row>
    <row r="1160" spans="1:16" s="1" customFormat="1" ht="119.1" customHeight="1" outlineLevel="3" x14ac:dyDescent="0.2">
      <c r="A1160" s="11">
        <v>219322</v>
      </c>
      <c r="B1160" s="12" t="s">
        <v>2229</v>
      </c>
      <c r="C1160" s="12" t="s">
        <v>50</v>
      </c>
      <c r="D1160" s="13"/>
      <c r="E1160" s="14" t="s">
        <v>2230</v>
      </c>
      <c r="F1160" s="15" t="s">
        <v>24</v>
      </c>
      <c r="G1160" s="16"/>
      <c r="H1160" s="36">
        <v>1935.5</v>
      </c>
      <c r="I1160" s="36">
        <f>ROUND(H1160-(H1160*I2/100),2)</f>
        <v>1935.5</v>
      </c>
      <c r="J1160" s="17">
        <v>56</v>
      </c>
      <c r="K1160" s="18"/>
      <c r="L1160" s="18"/>
      <c r="M1160" s="20"/>
      <c r="N1160" s="37">
        <f t="shared" si="52"/>
        <v>0</v>
      </c>
      <c r="O1160" s="21">
        <v>2</v>
      </c>
      <c r="P1160" s="22">
        <v>4.8300000000000001E-3</v>
      </c>
    </row>
    <row r="1161" spans="1:16" s="1" customFormat="1" ht="119.1" customHeight="1" outlineLevel="3" x14ac:dyDescent="0.2">
      <c r="A1161" s="11">
        <v>174474</v>
      </c>
      <c r="B1161" s="12" t="s">
        <v>2231</v>
      </c>
      <c r="C1161" s="12" t="s">
        <v>22</v>
      </c>
      <c r="D1161" s="13"/>
      <c r="E1161" s="14" t="s">
        <v>2232</v>
      </c>
      <c r="F1161" s="15" t="s">
        <v>24</v>
      </c>
      <c r="G1161" s="16"/>
      <c r="H1161" s="36">
        <v>3043.5</v>
      </c>
      <c r="I1161" s="36">
        <f>ROUND(H1161-(H1161*I2/100),2)</f>
        <v>3043.5</v>
      </c>
      <c r="J1161" s="17">
        <v>44</v>
      </c>
      <c r="K1161" s="18"/>
      <c r="L1161" s="18"/>
      <c r="M1161" s="20"/>
      <c r="N1161" s="37">
        <f t="shared" si="52"/>
        <v>0</v>
      </c>
      <c r="O1161" s="21">
        <v>2.56</v>
      </c>
      <c r="P1161" s="22">
        <v>6.2649999999999997E-3</v>
      </c>
    </row>
    <row r="1162" spans="1:16" s="1" customFormat="1" ht="119.1" customHeight="1" outlineLevel="3" x14ac:dyDescent="0.2">
      <c r="A1162" s="11">
        <v>138581</v>
      </c>
      <c r="B1162" s="12" t="s">
        <v>2233</v>
      </c>
      <c r="C1162" s="12" t="s">
        <v>22</v>
      </c>
      <c r="D1162" s="13"/>
      <c r="E1162" s="14" t="s">
        <v>2234</v>
      </c>
      <c r="F1162" s="15" t="s">
        <v>24</v>
      </c>
      <c r="G1162" s="16"/>
      <c r="H1162" s="36">
        <v>4738.3999999999996</v>
      </c>
      <c r="I1162" s="36">
        <f>ROUND(H1162-(H1162*I2/100),2)</f>
        <v>4738.3999999999996</v>
      </c>
      <c r="J1162" s="17">
        <v>74</v>
      </c>
      <c r="K1162" s="18"/>
      <c r="L1162" s="18"/>
      <c r="M1162" s="20"/>
      <c r="N1162" s="37">
        <f t="shared" si="52"/>
        <v>0</v>
      </c>
      <c r="O1162" s="21">
        <v>2.92</v>
      </c>
      <c r="P1162" s="22">
        <v>7.1019999999999998E-3</v>
      </c>
    </row>
    <row r="1163" spans="1:16" s="1" customFormat="1" ht="119.1" customHeight="1" outlineLevel="3" x14ac:dyDescent="0.2">
      <c r="A1163" s="11">
        <v>155254</v>
      </c>
      <c r="B1163" s="12" t="s">
        <v>2235</v>
      </c>
      <c r="C1163" s="12" t="s">
        <v>22</v>
      </c>
      <c r="D1163" s="13"/>
      <c r="E1163" s="14" t="s">
        <v>2236</v>
      </c>
      <c r="F1163" s="15" t="s">
        <v>24</v>
      </c>
      <c r="G1163" s="16"/>
      <c r="H1163" s="36">
        <v>7789</v>
      </c>
      <c r="I1163" s="36">
        <f>ROUND(H1163-(H1163*I2/100),2)</f>
        <v>7789</v>
      </c>
      <c r="J1163" s="17">
        <v>29</v>
      </c>
      <c r="K1163" s="18"/>
      <c r="L1163" s="18"/>
      <c r="M1163" s="20"/>
      <c r="N1163" s="37">
        <f t="shared" si="52"/>
        <v>0</v>
      </c>
      <c r="O1163" s="21">
        <v>3.875</v>
      </c>
      <c r="P1163" s="22">
        <v>1.6625999999999998E-2</v>
      </c>
    </row>
    <row r="1164" spans="1:16" s="1" customFormat="1" ht="119.1" customHeight="1" outlineLevel="3" x14ac:dyDescent="0.2">
      <c r="A1164" s="11">
        <v>179631</v>
      </c>
      <c r="B1164" s="12" t="s">
        <v>2237</v>
      </c>
      <c r="C1164" s="12" t="s">
        <v>22</v>
      </c>
      <c r="D1164" s="13"/>
      <c r="E1164" s="14" t="s">
        <v>2238</v>
      </c>
      <c r="F1164" s="15" t="s">
        <v>24</v>
      </c>
      <c r="G1164" s="16"/>
      <c r="H1164" s="36">
        <v>5918.8</v>
      </c>
      <c r="I1164" s="36">
        <f>ROUND(H1164-(H1164*I2/100),2)</f>
        <v>5918.8</v>
      </c>
      <c r="J1164" s="17">
        <v>141</v>
      </c>
      <c r="K1164" s="18"/>
      <c r="L1164" s="18"/>
      <c r="M1164" s="20"/>
      <c r="N1164" s="37">
        <f t="shared" si="52"/>
        <v>0</v>
      </c>
      <c r="O1164" s="21">
        <v>4.25</v>
      </c>
      <c r="P1164" s="22">
        <v>1.2165E-2</v>
      </c>
    </row>
    <row r="1165" spans="1:16" s="1" customFormat="1" ht="119.1" customHeight="1" outlineLevel="3" x14ac:dyDescent="0.2">
      <c r="A1165" s="11">
        <v>141801</v>
      </c>
      <c r="B1165" s="12" t="s">
        <v>2239</v>
      </c>
      <c r="C1165" s="12" t="s">
        <v>22</v>
      </c>
      <c r="D1165" s="28"/>
      <c r="E1165" s="29" t="s">
        <v>2240</v>
      </c>
      <c r="F1165" s="30" t="s">
        <v>24</v>
      </c>
      <c r="G1165" s="31" t="s">
        <v>209</v>
      </c>
      <c r="H1165" s="36">
        <v>8716.7999999999993</v>
      </c>
      <c r="I1165" s="36">
        <f>ROUND(H1165-(H1165*I2/100),2)</f>
        <v>8716.7999999999993</v>
      </c>
      <c r="J1165" s="17">
        <v>49</v>
      </c>
      <c r="K1165" s="18"/>
      <c r="L1165" s="18"/>
      <c r="M1165" s="20"/>
      <c r="N1165" s="37">
        <f t="shared" si="52"/>
        <v>0</v>
      </c>
      <c r="O1165" s="21">
        <v>6</v>
      </c>
      <c r="P1165" s="22">
        <v>2.4271999999999998E-2</v>
      </c>
    </row>
    <row r="1166" spans="1:16" s="1" customFormat="1" ht="119.1" customHeight="1" outlineLevel="3" x14ac:dyDescent="0.2">
      <c r="A1166" s="11">
        <v>167375</v>
      </c>
      <c r="B1166" s="12" t="s">
        <v>2241</v>
      </c>
      <c r="C1166" s="12" t="s">
        <v>22</v>
      </c>
      <c r="D1166" s="13"/>
      <c r="E1166" s="14" t="s">
        <v>2242</v>
      </c>
      <c r="F1166" s="15" t="s">
        <v>24</v>
      </c>
      <c r="G1166" s="16"/>
      <c r="H1166" s="36">
        <v>11971.3</v>
      </c>
      <c r="I1166" s="36">
        <f>ROUND(H1166-(H1166*I2/100),2)</f>
        <v>11971.3</v>
      </c>
      <c r="J1166" s="17">
        <v>28</v>
      </c>
      <c r="K1166" s="18"/>
      <c r="L1166" s="18"/>
      <c r="M1166" s="20"/>
      <c r="N1166" s="37">
        <f t="shared" si="52"/>
        <v>0</v>
      </c>
      <c r="O1166" s="21">
        <v>8.25</v>
      </c>
      <c r="P1166" s="22">
        <v>4.1667000000000003E-2</v>
      </c>
    </row>
    <row r="1167" spans="1:16" s="1" customFormat="1" ht="119.1" customHeight="1" outlineLevel="3" x14ac:dyDescent="0.2">
      <c r="A1167" s="11">
        <v>190274</v>
      </c>
      <c r="B1167" s="12" t="s">
        <v>2243</v>
      </c>
      <c r="C1167" s="12" t="s">
        <v>22</v>
      </c>
      <c r="D1167" s="13"/>
      <c r="E1167" s="14" t="s">
        <v>2244</v>
      </c>
      <c r="F1167" s="15" t="s">
        <v>24</v>
      </c>
      <c r="G1167" s="16"/>
      <c r="H1167" s="36">
        <v>246.7</v>
      </c>
      <c r="I1167" s="36">
        <f>ROUND(H1167-(H1167*I2/100),2)</f>
        <v>246.7</v>
      </c>
      <c r="J1167" s="17">
        <v>28</v>
      </c>
      <c r="K1167" s="18"/>
      <c r="L1167" s="18"/>
      <c r="M1167" s="20"/>
      <c r="N1167" s="37">
        <f t="shared" si="52"/>
        <v>0</v>
      </c>
      <c r="O1167" s="21">
        <v>4.8000000000000001E-2</v>
      </c>
      <c r="P1167" s="22">
        <v>7.2000000000000002E-5</v>
      </c>
    </row>
    <row r="1168" spans="1:16" s="1" customFormat="1" ht="119.1" customHeight="1" outlineLevel="3" x14ac:dyDescent="0.2">
      <c r="A1168" s="11">
        <v>211286</v>
      </c>
      <c r="B1168" s="12" t="s">
        <v>2245</v>
      </c>
      <c r="C1168" s="12" t="s">
        <v>22</v>
      </c>
      <c r="D1168" s="13"/>
      <c r="E1168" s="14" t="s">
        <v>2246</v>
      </c>
      <c r="F1168" s="15" t="s">
        <v>24</v>
      </c>
      <c r="G1168" s="16"/>
      <c r="H1168" s="36">
        <v>259.2</v>
      </c>
      <c r="I1168" s="36">
        <f>ROUND(H1168-(H1168*I2/100),2)</f>
        <v>259.2</v>
      </c>
      <c r="J1168" s="17">
        <v>27</v>
      </c>
      <c r="K1168" s="18"/>
      <c r="L1168" s="18"/>
      <c r="M1168" s="20"/>
      <c r="N1168" s="37">
        <f t="shared" si="52"/>
        <v>0</v>
      </c>
      <c r="O1168" s="21">
        <v>0.3</v>
      </c>
      <c r="P1168" s="22">
        <v>5.0000000000000001E-4</v>
      </c>
    </row>
    <row r="1169" spans="1:16" s="1" customFormat="1" ht="119.1" customHeight="1" outlineLevel="3" x14ac:dyDescent="0.2">
      <c r="A1169" s="11">
        <v>165144</v>
      </c>
      <c r="B1169" s="12" t="s">
        <v>2247</v>
      </c>
      <c r="C1169" s="12" t="s">
        <v>22</v>
      </c>
      <c r="D1169" s="13"/>
      <c r="E1169" s="14" t="s">
        <v>2248</v>
      </c>
      <c r="F1169" s="15" t="s">
        <v>24</v>
      </c>
      <c r="G1169" s="16"/>
      <c r="H1169" s="36">
        <v>539.29999999999995</v>
      </c>
      <c r="I1169" s="36">
        <f>ROUND(H1169-(H1169*I2/100),2)</f>
        <v>539.29999999999995</v>
      </c>
      <c r="J1169" s="17">
        <v>109</v>
      </c>
      <c r="K1169" s="18"/>
      <c r="L1169" s="18"/>
      <c r="M1169" s="20"/>
      <c r="N1169" s="37">
        <f t="shared" si="52"/>
        <v>0</v>
      </c>
      <c r="O1169" s="21">
        <v>0.56000000000000005</v>
      </c>
      <c r="P1169" s="22">
        <v>3.68E-4</v>
      </c>
    </row>
    <row r="1170" spans="1:16" s="1" customFormat="1" ht="119.1" customHeight="1" outlineLevel="3" x14ac:dyDescent="0.2">
      <c r="A1170" s="11">
        <v>190508</v>
      </c>
      <c r="B1170" s="12" t="s">
        <v>2249</v>
      </c>
      <c r="C1170" s="12" t="s">
        <v>22</v>
      </c>
      <c r="D1170" s="13"/>
      <c r="E1170" s="14" t="s">
        <v>2250</v>
      </c>
      <c r="F1170" s="15" t="s">
        <v>24</v>
      </c>
      <c r="G1170" s="16"/>
      <c r="H1170" s="36">
        <v>7200.9</v>
      </c>
      <c r="I1170" s="36">
        <f>ROUND(H1170-(H1170*I2/100),2)</f>
        <v>7200.9</v>
      </c>
      <c r="J1170" s="18"/>
      <c r="K1170" s="17">
        <v>40</v>
      </c>
      <c r="L1170" s="19" t="s">
        <v>2214</v>
      </c>
      <c r="M1170" s="20"/>
      <c r="N1170" s="37">
        <f t="shared" si="52"/>
        <v>0</v>
      </c>
      <c r="O1170" s="21">
        <v>5.375</v>
      </c>
      <c r="P1170" s="22">
        <v>7.3425000000000004E-2</v>
      </c>
    </row>
    <row r="1171" spans="1:16" s="1" customFormat="1" ht="119.1" customHeight="1" outlineLevel="3" x14ac:dyDescent="0.2">
      <c r="A1171" s="11">
        <v>190275</v>
      </c>
      <c r="B1171" s="12" t="s">
        <v>2251</v>
      </c>
      <c r="C1171" s="12" t="s">
        <v>22</v>
      </c>
      <c r="D1171" s="13"/>
      <c r="E1171" s="14" t="s">
        <v>2252</v>
      </c>
      <c r="F1171" s="15" t="s">
        <v>24</v>
      </c>
      <c r="G1171" s="16"/>
      <c r="H1171" s="36">
        <v>6869.8</v>
      </c>
      <c r="I1171" s="36">
        <f>ROUND(H1171-(H1171*I2/100),2)</f>
        <v>6869.8</v>
      </c>
      <c r="J1171" s="17">
        <v>9</v>
      </c>
      <c r="K1171" s="17">
        <v>20</v>
      </c>
      <c r="L1171" s="19" t="s">
        <v>2214</v>
      </c>
      <c r="M1171" s="20"/>
      <c r="N1171" s="37">
        <f t="shared" si="52"/>
        <v>0</v>
      </c>
      <c r="O1171" s="21">
        <v>6.75</v>
      </c>
      <c r="P1171" s="22">
        <v>1.7118999999999999E-2</v>
      </c>
    </row>
    <row r="1172" spans="1:16" s="1" customFormat="1" ht="119.1" customHeight="1" outlineLevel="3" x14ac:dyDescent="0.2">
      <c r="A1172" s="11">
        <v>138596</v>
      </c>
      <c r="B1172" s="12" t="s">
        <v>2253</v>
      </c>
      <c r="C1172" s="12" t="s">
        <v>22</v>
      </c>
      <c r="D1172" s="13"/>
      <c r="E1172" s="14" t="s">
        <v>2254</v>
      </c>
      <c r="F1172" s="15" t="s">
        <v>24</v>
      </c>
      <c r="G1172" s="16"/>
      <c r="H1172" s="36">
        <v>10313</v>
      </c>
      <c r="I1172" s="36">
        <f>ROUND(H1172-(H1172*I2/100),2)</f>
        <v>10313</v>
      </c>
      <c r="J1172" s="17">
        <v>1</v>
      </c>
      <c r="K1172" s="18"/>
      <c r="L1172" s="18"/>
      <c r="M1172" s="20"/>
      <c r="N1172" s="37">
        <f t="shared" si="52"/>
        <v>0</v>
      </c>
      <c r="O1172" s="21">
        <v>7.5</v>
      </c>
      <c r="P1172" s="22">
        <v>1.6997999999999999E-2</v>
      </c>
    </row>
    <row r="1173" spans="1:16" s="1" customFormat="1" ht="119.1" customHeight="1" outlineLevel="3" x14ac:dyDescent="0.2">
      <c r="A1173" s="11">
        <v>169045</v>
      </c>
      <c r="B1173" s="12" t="s">
        <v>2255</v>
      </c>
      <c r="C1173" s="12" t="s">
        <v>22</v>
      </c>
      <c r="D1173" s="13"/>
      <c r="E1173" s="14" t="s">
        <v>2256</v>
      </c>
      <c r="F1173" s="15" t="s">
        <v>24</v>
      </c>
      <c r="G1173" s="16"/>
      <c r="H1173" s="36">
        <v>9230.2999999999993</v>
      </c>
      <c r="I1173" s="36">
        <f>ROUND(H1173-(H1173*I2/100),2)</f>
        <v>9230.2999999999993</v>
      </c>
      <c r="J1173" s="17">
        <v>26</v>
      </c>
      <c r="K1173" s="18"/>
      <c r="L1173" s="18"/>
      <c r="M1173" s="20"/>
      <c r="N1173" s="37">
        <f t="shared" si="52"/>
        <v>0</v>
      </c>
      <c r="O1173" s="21">
        <v>7.5</v>
      </c>
      <c r="P1173" s="22">
        <v>1.7662000000000001E-2</v>
      </c>
    </row>
    <row r="1174" spans="1:16" s="1" customFormat="1" ht="119.1" customHeight="1" outlineLevel="3" x14ac:dyDescent="0.2">
      <c r="A1174" s="11">
        <v>198573</v>
      </c>
      <c r="B1174" s="12" t="s">
        <v>2257</v>
      </c>
      <c r="C1174" s="12" t="s">
        <v>22</v>
      </c>
      <c r="D1174" s="13"/>
      <c r="E1174" s="14" t="s">
        <v>2258</v>
      </c>
      <c r="F1174" s="15" t="s">
        <v>24</v>
      </c>
      <c r="G1174" s="16"/>
      <c r="H1174" s="36">
        <v>13537.1</v>
      </c>
      <c r="I1174" s="36">
        <f>ROUND(H1174-(H1174*I2/100),2)</f>
        <v>13537.1</v>
      </c>
      <c r="J1174" s="17">
        <v>20</v>
      </c>
      <c r="K1174" s="18"/>
      <c r="L1174" s="18"/>
      <c r="M1174" s="20"/>
      <c r="N1174" s="37">
        <f t="shared" si="52"/>
        <v>0</v>
      </c>
      <c r="O1174" s="21">
        <v>11.15</v>
      </c>
      <c r="P1174" s="22">
        <v>2.5479999999999999E-2</v>
      </c>
    </row>
    <row r="1175" spans="1:16" s="1" customFormat="1" ht="119.1" customHeight="1" outlineLevel="3" x14ac:dyDescent="0.2">
      <c r="A1175" s="11">
        <v>138597</v>
      </c>
      <c r="B1175" s="12" t="s">
        <v>2259</v>
      </c>
      <c r="C1175" s="12" t="s">
        <v>22</v>
      </c>
      <c r="D1175" s="13"/>
      <c r="E1175" s="14" t="s">
        <v>2260</v>
      </c>
      <c r="F1175" s="15" t="s">
        <v>24</v>
      </c>
      <c r="G1175" s="16"/>
      <c r="H1175" s="36">
        <v>11865.1</v>
      </c>
      <c r="I1175" s="36">
        <f>ROUND(H1175-(H1175*I2/100),2)</f>
        <v>11865.1</v>
      </c>
      <c r="J1175" s="17">
        <v>18</v>
      </c>
      <c r="K1175" s="18"/>
      <c r="L1175" s="18"/>
      <c r="M1175" s="20"/>
      <c r="N1175" s="37">
        <f t="shared" si="52"/>
        <v>0</v>
      </c>
      <c r="O1175" s="21">
        <v>8.5</v>
      </c>
      <c r="P1175" s="22">
        <v>2.2391999999999999E-2</v>
      </c>
    </row>
    <row r="1176" spans="1:16" s="1" customFormat="1" ht="119.1" customHeight="1" outlineLevel="3" x14ac:dyDescent="0.2">
      <c r="A1176" s="11">
        <v>219275</v>
      </c>
      <c r="B1176" s="12" t="s">
        <v>2261</v>
      </c>
      <c r="C1176" s="12" t="s">
        <v>22</v>
      </c>
      <c r="D1176" s="13"/>
      <c r="E1176" s="14" t="s">
        <v>2262</v>
      </c>
      <c r="F1176" s="15" t="s">
        <v>24</v>
      </c>
      <c r="G1176" s="16"/>
      <c r="H1176" s="36">
        <v>9572.2999999999993</v>
      </c>
      <c r="I1176" s="36">
        <f>ROUND(H1176-(H1176*I2/100),2)</f>
        <v>9572.2999999999993</v>
      </c>
      <c r="J1176" s="17">
        <v>14</v>
      </c>
      <c r="K1176" s="18"/>
      <c r="L1176" s="18"/>
      <c r="M1176" s="20"/>
      <c r="N1176" s="37">
        <f t="shared" si="52"/>
        <v>0</v>
      </c>
      <c r="O1176" s="21">
        <v>0.2</v>
      </c>
      <c r="P1176" s="22">
        <v>2E-3</v>
      </c>
    </row>
    <row r="1177" spans="1:16" s="1" customFormat="1" ht="119.1" customHeight="1" outlineLevel="3" x14ac:dyDescent="0.2">
      <c r="A1177" s="11">
        <v>219988</v>
      </c>
      <c r="B1177" s="12" t="s">
        <v>2263</v>
      </c>
      <c r="C1177" s="12" t="s">
        <v>50</v>
      </c>
      <c r="D1177" s="28"/>
      <c r="E1177" s="29" t="s">
        <v>2264</v>
      </c>
      <c r="F1177" s="30" t="s">
        <v>24</v>
      </c>
      <c r="G1177" s="31" t="s">
        <v>209</v>
      </c>
      <c r="H1177" s="36">
        <v>4635.8</v>
      </c>
      <c r="I1177" s="36">
        <f>ROUND(H1177-(H1177*I2/100),2)</f>
        <v>4635.8</v>
      </c>
      <c r="J1177" s="17">
        <v>64</v>
      </c>
      <c r="K1177" s="18"/>
      <c r="L1177" s="18"/>
      <c r="M1177" s="20"/>
      <c r="N1177" s="37">
        <f t="shared" si="52"/>
        <v>0</v>
      </c>
      <c r="O1177" s="21">
        <v>4.9749999999999996</v>
      </c>
      <c r="P1177" s="22">
        <v>7.3197999999999999E-2</v>
      </c>
    </row>
    <row r="1178" spans="1:16" s="1" customFormat="1" ht="119.1" customHeight="1" outlineLevel="3" x14ac:dyDescent="0.2">
      <c r="A1178" s="11">
        <v>212480</v>
      </c>
      <c r="B1178" s="12" t="s">
        <v>2265</v>
      </c>
      <c r="C1178" s="12" t="s">
        <v>22</v>
      </c>
      <c r="D1178" s="13"/>
      <c r="E1178" s="14" t="s">
        <v>2266</v>
      </c>
      <c r="F1178" s="15" t="s">
        <v>24</v>
      </c>
      <c r="G1178" s="16"/>
      <c r="H1178" s="36">
        <v>9800.9</v>
      </c>
      <c r="I1178" s="36">
        <f>ROUND(H1178-(H1178*I2/100),2)</f>
        <v>9800.9</v>
      </c>
      <c r="J1178" s="17">
        <v>12</v>
      </c>
      <c r="K1178" s="18"/>
      <c r="L1178" s="18"/>
      <c r="M1178" s="20"/>
      <c r="N1178" s="37">
        <f t="shared" si="52"/>
        <v>0</v>
      </c>
      <c r="O1178" s="21">
        <v>3.1</v>
      </c>
      <c r="P1178" s="22">
        <v>1.0097999999999999E-2</v>
      </c>
    </row>
    <row r="1179" spans="1:16" s="1" customFormat="1" ht="119.1" customHeight="1" outlineLevel="3" x14ac:dyDescent="0.2">
      <c r="A1179" s="11">
        <v>156976</v>
      </c>
      <c r="B1179" s="12" t="s">
        <v>2267</v>
      </c>
      <c r="C1179" s="12" t="s">
        <v>22</v>
      </c>
      <c r="D1179" s="23"/>
      <c r="E1179" s="24" t="s">
        <v>2268</v>
      </c>
      <c r="F1179" s="25" t="s">
        <v>24</v>
      </c>
      <c r="G1179" s="26" t="s">
        <v>39</v>
      </c>
      <c r="H1179" s="36">
        <v>4051.22</v>
      </c>
      <c r="I1179" s="36">
        <f>H1179</f>
        <v>4051.22</v>
      </c>
      <c r="J1179" s="17">
        <v>38</v>
      </c>
      <c r="K1179" s="18"/>
      <c r="L1179" s="18"/>
      <c r="M1179" s="20"/>
      <c r="N1179" s="37">
        <f t="shared" si="52"/>
        <v>0</v>
      </c>
      <c r="O1179" s="21">
        <v>1.7</v>
      </c>
      <c r="P1179" s="22">
        <v>4.7039999999999998E-3</v>
      </c>
    </row>
    <row r="1180" spans="1:16" s="1" customFormat="1" ht="119.1" customHeight="1" outlineLevel="3" x14ac:dyDescent="0.2">
      <c r="A1180" s="11">
        <v>219995</v>
      </c>
      <c r="B1180" s="12" t="s">
        <v>2269</v>
      </c>
      <c r="C1180" s="12" t="s">
        <v>50</v>
      </c>
      <c r="D1180" s="28"/>
      <c r="E1180" s="29" t="s">
        <v>2270</v>
      </c>
      <c r="F1180" s="30" t="s">
        <v>24</v>
      </c>
      <c r="G1180" s="31" t="s">
        <v>209</v>
      </c>
      <c r="H1180" s="36">
        <v>6902.5</v>
      </c>
      <c r="I1180" s="36">
        <f>ROUND(H1180-(H1180*I2/100),2)</f>
        <v>6902.5</v>
      </c>
      <c r="J1180" s="17">
        <v>33</v>
      </c>
      <c r="K1180" s="18"/>
      <c r="L1180" s="18"/>
      <c r="M1180" s="20"/>
      <c r="N1180" s="37">
        <f t="shared" si="52"/>
        <v>0</v>
      </c>
      <c r="O1180" s="21">
        <v>3.5249999999999999</v>
      </c>
      <c r="P1180" s="22">
        <v>1.4784E-2</v>
      </c>
    </row>
    <row r="1181" spans="1:16" s="1" customFormat="1" ht="119.1" customHeight="1" outlineLevel="3" x14ac:dyDescent="0.2">
      <c r="A1181" s="11">
        <v>196198</v>
      </c>
      <c r="B1181" s="12" t="s">
        <v>2271</v>
      </c>
      <c r="C1181" s="12" t="s">
        <v>22</v>
      </c>
      <c r="D1181" s="13"/>
      <c r="E1181" s="14" t="s">
        <v>2272</v>
      </c>
      <c r="F1181" s="15" t="s">
        <v>24</v>
      </c>
      <c r="G1181" s="16"/>
      <c r="H1181" s="36">
        <v>11511.3</v>
      </c>
      <c r="I1181" s="36">
        <f>ROUND(H1181-(H1181*I2/100),2)</f>
        <v>11511.3</v>
      </c>
      <c r="J1181" s="17">
        <v>6</v>
      </c>
      <c r="K1181" s="18"/>
      <c r="L1181" s="18"/>
      <c r="M1181" s="20"/>
      <c r="N1181" s="37">
        <f t="shared" si="52"/>
        <v>0</v>
      </c>
      <c r="O1181" s="21">
        <v>4.6500000000000004</v>
      </c>
      <c r="P1181" s="22">
        <v>1.0423999999999999E-2</v>
      </c>
    </row>
    <row r="1182" spans="1:16" s="1" customFormat="1" ht="119.1" customHeight="1" outlineLevel="3" x14ac:dyDescent="0.2">
      <c r="A1182" s="11">
        <v>216981</v>
      </c>
      <c r="B1182" s="12" t="s">
        <v>2273</v>
      </c>
      <c r="C1182" s="12" t="s">
        <v>50</v>
      </c>
      <c r="D1182" s="13"/>
      <c r="E1182" s="14" t="s">
        <v>2274</v>
      </c>
      <c r="F1182" s="15" t="s">
        <v>24</v>
      </c>
      <c r="G1182" s="16"/>
      <c r="H1182" s="36">
        <v>1351.2</v>
      </c>
      <c r="I1182" s="36">
        <f>ROUND(H1182-(H1182*I2/100),2)</f>
        <v>1351.2</v>
      </c>
      <c r="J1182" s="17">
        <v>5</v>
      </c>
      <c r="K1182" s="18"/>
      <c r="L1182" s="18"/>
      <c r="M1182" s="20"/>
      <c r="N1182" s="37">
        <f t="shared" si="52"/>
        <v>0</v>
      </c>
      <c r="O1182" s="21">
        <v>1.23</v>
      </c>
      <c r="P1182" s="22">
        <v>4.0959999999999998E-3</v>
      </c>
    </row>
    <row r="1183" spans="1:16" s="8" customFormat="1" ht="15.95" customHeight="1" outlineLevel="2" x14ac:dyDescent="0.25">
      <c r="A1183" s="9"/>
      <c r="B1183" s="10"/>
      <c r="C1183" s="10"/>
      <c r="D1183" s="10" t="s">
        <v>2275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</row>
    <row r="1184" spans="1:16" s="1" customFormat="1" ht="119.1" customHeight="1" outlineLevel="3" x14ac:dyDescent="0.2">
      <c r="A1184" s="11">
        <v>184313</v>
      </c>
      <c r="B1184" s="12" t="s">
        <v>2276</v>
      </c>
      <c r="C1184" s="12" t="s">
        <v>22</v>
      </c>
      <c r="D1184" s="13"/>
      <c r="E1184" s="14" t="s">
        <v>2277</v>
      </c>
      <c r="F1184" s="15" t="s">
        <v>24</v>
      </c>
      <c r="G1184" s="16"/>
      <c r="H1184" s="36">
        <v>13608.2</v>
      </c>
      <c r="I1184" s="36">
        <f>ROUND(H1184-(H1184*I2/100),2)</f>
        <v>13608.2</v>
      </c>
      <c r="J1184" s="17">
        <v>32</v>
      </c>
      <c r="K1184" s="18"/>
      <c r="L1184" s="18"/>
      <c r="M1184" s="20"/>
      <c r="N1184" s="37">
        <f t="shared" ref="N1184:N1201" si="53">I1184*M1184</f>
        <v>0</v>
      </c>
      <c r="O1184" s="21">
        <v>15.5</v>
      </c>
      <c r="P1184" s="22">
        <v>7.9102000000000006E-2</v>
      </c>
    </row>
    <row r="1185" spans="1:16" s="1" customFormat="1" ht="119.1" customHeight="1" outlineLevel="3" x14ac:dyDescent="0.2">
      <c r="A1185" s="11">
        <v>180958</v>
      </c>
      <c r="B1185" s="12" t="s">
        <v>2278</v>
      </c>
      <c r="C1185" s="12" t="s">
        <v>22</v>
      </c>
      <c r="D1185" s="13"/>
      <c r="E1185" s="14" t="s">
        <v>2279</v>
      </c>
      <c r="F1185" s="15" t="s">
        <v>24</v>
      </c>
      <c r="G1185" s="16"/>
      <c r="H1185" s="36">
        <v>38016.400000000001</v>
      </c>
      <c r="I1185" s="36">
        <f>ROUND(H1185-(H1185*I2/100),2)</f>
        <v>38016.400000000001</v>
      </c>
      <c r="J1185" s="17">
        <v>2</v>
      </c>
      <c r="K1185" s="18"/>
      <c r="L1185" s="18"/>
      <c r="M1185" s="20"/>
      <c r="N1185" s="37">
        <f t="shared" si="53"/>
        <v>0</v>
      </c>
      <c r="O1185" s="21">
        <v>26</v>
      </c>
      <c r="P1185" s="22">
        <v>0.28586299999999998</v>
      </c>
    </row>
    <row r="1186" spans="1:16" s="1" customFormat="1" ht="119.1" customHeight="1" outlineLevel="3" x14ac:dyDescent="0.2">
      <c r="A1186" s="11">
        <v>170340</v>
      </c>
      <c r="B1186" s="12" t="s">
        <v>2280</v>
      </c>
      <c r="C1186" s="12" t="s">
        <v>22</v>
      </c>
      <c r="D1186" s="13"/>
      <c r="E1186" s="14" t="s">
        <v>2281</v>
      </c>
      <c r="F1186" s="15" t="s">
        <v>24</v>
      </c>
      <c r="G1186" s="16"/>
      <c r="H1186" s="36">
        <v>10552.4</v>
      </c>
      <c r="I1186" s="36">
        <f>ROUND(H1186-(H1186*I2/100),2)</f>
        <v>10552.4</v>
      </c>
      <c r="J1186" s="17">
        <v>31</v>
      </c>
      <c r="K1186" s="18"/>
      <c r="L1186" s="18"/>
      <c r="M1186" s="20"/>
      <c r="N1186" s="37">
        <f t="shared" si="53"/>
        <v>0</v>
      </c>
      <c r="O1186" s="21">
        <v>7.4</v>
      </c>
      <c r="P1186" s="22">
        <v>5.8987999999999999E-2</v>
      </c>
    </row>
    <row r="1187" spans="1:16" s="1" customFormat="1" ht="119.1" customHeight="1" outlineLevel="3" x14ac:dyDescent="0.2">
      <c r="A1187" s="11">
        <v>196921</v>
      </c>
      <c r="B1187" s="12" t="s">
        <v>2282</v>
      </c>
      <c r="C1187" s="12" t="s">
        <v>22</v>
      </c>
      <c r="D1187" s="13"/>
      <c r="E1187" s="14" t="s">
        <v>2283</v>
      </c>
      <c r="F1187" s="15" t="s">
        <v>24</v>
      </c>
      <c r="G1187" s="16"/>
      <c r="H1187" s="36">
        <v>19144.8</v>
      </c>
      <c r="I1187" s="36">
        <f>ROUND(H1187-(H1187*I2/100),2)</f>
        <v>19144.8</v>
      </c>
      <c r="J1187" s="17">
        <v>1</v>
      </c>
      <c r="K1187" s="18"/>
      <c r="L1187" s="18"/>
      <c r="M1187" s="20"/>
      <c r="N1187" s="37">
        <f t="shared" si="53"/>
        <v>0</v>
      </c>
      <c r="O1187" s="21">
        <v>14</v>
      </c>
      <c r="P1187" s="22">
        <v>0.13524</v>
      </c>
    </row>
    <row r="1188" spans="1:16" s="1" customFormat="1" ht="119.1" customHeight="1" outlineLevel="3" x14ac:dyDescent="0.2">
      <c r="A1188" s="11">
        <v>168151</v>
      </c>
      <c r="B1188" s="12" t="s">
        <v>2284</v>
      </c>
      <c r="C1188" s="12" t="s">
        <v>22</v>
      </c>
      <c r="D1188" s="13"/>
      <c r="E1188" s="14" t="s">
        <v>2285</v>
      </c>
      <c r="F1188" s="15" t="s">
        <v>24</v>
      </c>
      <c r="G1188" s="16"/>
      <c r="H1188" s="36">
        <v>17564.5</v>
      </c>
      <c r="I1188" s="36">
        <f>ROUND(H1188-(H1188*I2/100),2)</f>
        <v>17564.5</v>
      </c>
      <c r="J1188" s="17">
        <v>1</v>
      </c>
      <c r="K1188" s="18"/>
      <c r="L1188" s="18"/>
      <c r="M1188" s="20"/>
      <c r="N1188" s="37">
        <f t="shared" si="53"/>
        <v>0</v>
      </c>
      <c r="O1188" s="21">
        <v>13.15</v>
      </c>
      <c r="P1188" s="22">
        <v>0.104958</v>
      </c>
    </row>
    <row r="1189" spans="1:16" s="1" customFormat="1" ht="119.1" customHeight="1" outlineLevel="3" x14ac:dyDescent="0.2">
      <c r="A1189" s="11">
        <v>182135</v>
      </c>
      <c r="B1189" s="12" t="s">
        <v>2286</v>
      </c>
      <c r="C1189" s="12" t="s">
        <v>22</v>
      </c>
      <c r="D1189" s="13"/>
      <c r="E1189" s="14" t="s">
        <v>2287</v>
      </c>
      <c r="F1189" s="15" t="s">
        <v>24</v>
      </c>
      <c r="G1189" s="16"/>
      <c r="H1189" s="36">
        <v>44732.6</v>
      </c>
      <c r="I1189" s="36">
        <f>ROUND(H1189-(H1189*I2/100),2)</f>
        <v>44732.6</v>
      </c>
      <c r="J1189" s="17">
        <v>5</v>
      </c>
      <c r="K1189" s="18"/>
      <c r="L1189" s="18"/>
      <c r="M1189" s="20"/>
      <c r="N1189" s="37">
        <f t="shared" si="53"/>
        <v>0</v>
      </c>
      <c r="O1189" s="21">
        <v>32.68</v>
      </c>
      <c r="P1189" s="22">
        <v>0.29575000000000001</v>
      </c>
    </row>
    <row r="1190" spans="1:16" s="1" customFormat="1" ht="119.1" customHeight="1" outlineLevel="3" x14ac:dyDescent="0.2">
      <c r="A1190" s="11">
        <v>190509</v>
      </c>
      <c r="B1190" s="12" t="s">
        <v>2288</v>
      </c>
      <c r="C1190" s="12" t="s">
        <v>22</v>
      </c>
      <c r="D1190" s="13"/>
      <c r="E1190" s="14" t="s">
        <v>2289</v>
      </c>
      <c r="F1190" s="15" t="s">
        <v>24</v>
      </c>
      <c r="G1190" s="16"/>
      <c r="H1190" s="36">
        <v>5672.2</v>
      </c>
      <c r="I1190" s="36">
        <f>ROUND(H1190-(H1190*I2/100),2)</f>
        <v>5672.2</v>
      </c>
      <c r="J1190" s="17">
        <v>156</v>
      </c>
      <c r="K1190" s="18"/>
      <c r="L1190" s="18"/>
      <c r="M1190" s="20"/>
      <c r="N1190" s="37">
        <f t="shared" si="53"/>
        <v>0</v>
      </c>
      <c r="O1190" s="21">
        <v>5.0999999999999996</v>
      </c>
      <c r="P1190" s="22">
        <v>1.6302000000000001E-2</v>
      </c>
    </row>
    <row r="1191" spans="1:16" s="1" customFormat="1" ht="119.1" customHeight="1" outlineLevel="3" x14ac:dyDescent="0.2">
      <c r="A1191" s="11">
        <v>169820</v>
      </c>
      <c r="B1191" s="12" t="s">
        <v>2290</v>
      </c>
      <c r="C1191" s="12" t="s">
        <v>22</v>
      </c>
      <c r="D1191" s="13"/>
      <c r="E1191" s="14" t="s">
        <v>2291</v>
      </c>
      <c r="F1191" s="15" t="s">
        <v>24</v>
      </c>
      <c r="G1191" s="16"/>
      <c r="H1191" s="36">
        <v>6393.4</v>
      </c>
      <c r="I1191" s="36">
        <f>ROUND(H1191-(H1191*I2/100),2)</f>
        <v>6393.4</v>
      </c>
      <c r="J1191" s="17">
        <v>127</v>
      </c>
      <c r="K1191" s="18"/>
      <c r="L1191" s="18"/>
      <c r="M1191" s="20"/>
      <c r="N1191" s="37">
        <f t="shared" si="53"/>
        <v>0</v>
      </c>
      <c r="O1191" s="21">
        <v>5.25</v>
      </c>
      <c r="P1191" s="22">
        <v>1.6302000000000001E-2</v>
      </c>
    </row>
    <row r="1192" spans="1:16" s="1" customFormat="1" ht="119.1" customHeight="1" outlineLevel="3" x14ac:dyDescent="0.2">
      <c r="A1192" s="11">
        <v>138601</v>
      </c>
      <c r="B1192" s="12" t="s">
        <v>2292</v>
      </c>
      <c r="C1192" s="12" t="s">
        <v>22</v>
      </c>
      <c r="D1192" s="13"/>
      <c r="E1192" s="14" t="s">
        <v>2293</v>
      </c>
      <c r="F1192" s="15" t="s">
        <v>24</v>
      </c>
      <c r="G1192" s="16"/>
      <c r="H1192" s="36">
        <v>7598.5</v>
      </c>
      <c r="I1192" s="36">
        <f>ROUND(H1192-(H1192*I2/100),2)</f>
        <v>7598.5</v>
      </c>
      <c r="J1192" s="17">
        <v>127</v>
      </c>
      <c r="K1192" s="18"/>
      <c r="L1192" s="18"/>
      <c r="M1192" s="20"/>
      <c r="N1192" s="37">
        <f t="shared" si="53"/>
        <v>0</v>
      </c>
      <c r="O1192" s="21">
        <v>5.5</v>
      </c>
      <c r="P1192" s="22">
        <v>2.5045000000000001E-2</v>
      </c>
    </row>
    <row r="1193" spans="1:16" s="1" customFormat="1" ht="119.1" customHeight="1" outlineLevel="3" x14ac:dyDescent="0.2">
      <c r="A1193" s="11">
        <v>189947</v>
      </c>
      <c r="B1193" s="12" t="s">
        <v>2294</v>
      </c>
      <c r="C1193" s="12" t="s">
        <v>22</v>
      </c>
      <c r="D1193" s="13"/>
      <c r="E1193" s="14" t="s">
        <v>2295</v>
      </c>
      <c r="F1193" s="15" t="s">
        <v>24</v>
      </c>
      <c r="G1193" s="16"/>
      <c r="H1193" s="36">
        <v>9807.6</v>
      </c>
      <c r="I1193" s="36">
        <f>ROUND(H1193-(H1193*I2/100),2)</f>
        <v>9807.6</v>
      </c>
      <c r="J1193" s="17">
        <v>29</v>
      </c>
      <c r="K1193" s="18"/>
      <c r="L1193" s="18"/>
      <c r="M1193" s="20"/>
      <c r="N1193" s="37">
        <f t="shared" si="53"/>
        <v>0</v>
      </c>
      <c r="O1193" s="21">
        <v>8</v>
      </c>
      <c r="P1193" s="22">
        <v>2.7864E-2</v>
      </c>
    </row>
    <row r="1194" spans="1:16" s="1" customFormat="1" ht="119.1" customHeight="1" outlineLevel="3" x14ac:dyDescent="0.2">
      <c r="A1194" s="11">
        <v>171460</v>
      </c>
      <c r="B1194" s="12" t="s">
        <v>2296</v>
      </c>
      <c r="C1194" s="12" t="s">
        <v>22</v>
      </c>
      <c r="D1194" s="13"/>
      <c r="E1194" s="14" t="s">
        <v>2297</v>
      </c>
      <c r="F1194" s="15" t="s">
        <v>24</v>
      </c>
      <c r="G1194" s="16"/>
      <c r="H1194" s="36">
        <v>11761</v>
      </c>
      <c r="I1194" s="36">
        <f>ROUND(H1194-(H1194*I2/100),2)</f>
        <v>11761</v>
      </c>
      <c r="J1194" s="17">
        <v>43</v>
      </c>
      <c r="K1194" s="18"/>
      <c r="L1194" s="18"/>
      <c r="M1194" s="20"/>
      <c r="N1194" s="37">
        <f t="shared" si="53"/>
        <v>0</v>
      </c>
      <c r="O1194" s="21">
        <v>9.5</v>
      </c>
      <c r="P1194" s="22">
        <v>3.5674999999999998E-2</v>
      </c>
    </row>
    <row r="1195" spans="1:16" s="1" customFormat="1" ht="119.1" customHeight="1" outlineLevel="3" x14ac:dyDescent="0.2">
      <c r="A1195" s="11">
        <v>196213</v>
      </c>
      <c r="B1195" s="12" t="s">
        <v>2298</v>
      </c>
      <c r="C1195" s="12" t="s">
        <v>22</v>
      </c>
      <c r="D1195" s="13"/>
      <c r="E1195" s="14" t="s">
        <v>2299</v>
      </c>
      <c r="F1195" s="15" t="s">
        <v>24</v>
      </c>
      <c r="G1195" s="16"/>
      <c r="H1195" s="36">
        <v>6282.8</v>
      </c>
      <c r="I1195" s="36">
        <f>ROUND(H1195-(H1195*I2/100),2)</f>
        <v>6282.8</v>
      </c>
      <c r="J1195" s="17">
        <v>115</v>
      </c>
      <c r="K1195" s="18"/>
      <c r="L1195" s="18"/>
      <c r="M1195" s="20"/>
      <c r="N1195" s="37">
        <f t="shared" si="53"/>
        <v>0</v>
      </c>
      <c r="O1195" s="21">
        <v>2.6</v>
      </c>
      <c r="P1195" s="22">
        <v>1.4285000000000001E-2</v>
      </c>
    </row>
    <row r="1196" spans="1:16" s="1" customFormat="1" ht="119.1" customHeight="1" outlineLevel="3" x14ac:dyDescent="0.2">
      <c r="A1196" s="11">
        <v>196214</v>
      </c>
      <c r="B1196" s="12" t="s">
        <v>2300</v>
      </c>
      <c r="C1196" s="12" t="s">
        <v>22</v>
      </c>
      <c r="D1196" s="28"/>
      <c r="E1196" s="29" t="s">
        <v>2301</v>
      </c>
      <c r="F1196" s="30" t="s">
        <v>24</v>
      </c>
      <c r="G1196" s="31" t="s">
        <v>209</v>
      </c>
      <c r="H1196" s="36">
        <v>9543.2000000000007</v>
      </c>
      <c r="I1196" s="36">
        <f>ROUND(H1196-(H1196*I2/100),2)</f>
        <v>9543.2000000000007</v>
      </c>
      <c r="J1196" s="17">
        <v>89</v>
      </c>
      <c r="K1196" s="18"/>
      <c r="L1196" s="18"/>
      <c r="M1196" s="20"/>
      <c r="N1196" s="37">
        <f t="shared" si="53"/>
        <v>0</v>
      </c>
      <c r="O1196" s="21">
        <v>3.5</v>
      </c>
      <c r="P1196" s="22">
        <v>1.3280999999999999E-2</v>
      </c>
    </row>
    <row r="1197" spans="1:16" s="1" customFormat="1" ht="119.1" customHeight="1" outlineLevel="3" x14ac:dyDescent="0.2">
      <c r="A1197" s="11">
        <v>202481</v>
      </c>
      <c r="B1197" s="12" t="s">
        <v>2302</v>
      </c>
      <c r="C1197" s="12" t="s">
        <v>22</v>
      </c>
      <c r="D1197" s="13"/>
      <c r="E1197" s="14" t="s">
        <v>2303</v>
      </c>
      <c r="F1197" s="15" t="s">
        <v>24</v>
      </c>
      <c r="G1197" s="16"/>
      <c r="H1197" s="36">
        <v>7512.7</v>
      </c>
      <c r="I1197" s="36">
        <f>ROUND(H1197-(H1197*I2/100),2)</f>
        <v>7512.7</v>
      </c>
      <c r="J1197" s="17">
        <v>45</v>
      </c>
      <c r="K1197" s="18"/>
      <c r="L1197" s="18"/>
      <c r="M1197" s="20"/>
      <c r="N1197" s="37">
        <f t="shared" si="53"/>
        <v>0</v>
      </c>
      <c r="O1197" s="21">
        <v>1.5</v>
      </c>
      <c r="P1197" s="22">
        <v>5.0000000000000001E-3</v>
      </c>
    </row>
    <row r="1198" spans="1:16" s="1" customFormat="1" ht="119.1" customHeight="1" outlineLevel="3" x14ac:dyDescent="0.2">
      <c r="A1198" s="11">
        <v>195731</v>
      </c>
      <c r="B1198" s="12" t="s">
        <v>2304</v>
      </c>
      <c r="C1198" s="12" t="s">
        <v>22</v>
      </c>
      <c r="D1198" s="13"/>
      <c r="E1198" s="14" t="s">
        <v>2305</v>
      </c>
      <c r="F1198" s="15" t="s">
        <v>24</v>
      </c>
      <c r="G1198" s="16"/>
      <c r="H1198" s="36">
        <v>8899.2000000000007</v>
      </c>
      <c r="I1198" s="36">
        <f>ROUND(H1198-(H1198*I2/100),2)</f>
        <v>8899.2000000000007</v>
      </c>
      <c r="J1198" s="17">
        <v>76</v>
      </c>
      <c r="K1198" s="18"/>
      <c r="L1198" s="18"/>
      <c r="M1198" s="20"/>
      <c r="N1198" s="37">
        <f t="shared" si="53"/>
        <v>0</v>
      </c>
      <c r="O1198" s="21">
        <v>3.7749999999999999</v>
      </c>
      <c r="P1198" s="22">
        <v>1.4285000000000001E-2</v>
      </c>
    </row>
    <row r="1199" spans="1:16" s="1" customFormat="1" ht="119.1" customHeight="1" outlineLevel="3" x14ac:dyDescent="0.2">
      <c r="A1199" s="11">
        <v>216157</v>
      </c>
      <c r="B1199" s="12" t="s">
        <v>2306</v>
      </c>
      <c r="C1199" s="12" t="s">
        <v>22</v>
      </c>
      <c r="D1199" s="13"/>
      <c r="E1199" s="14" t="s">
        <v>2307</v>
      </c>
      <c r="F1199" s="15" t="s">
        <v>24</v>
      </c>
      <c r="G1199" s="16"/>
      <c r="H1199" s="36">
        <v>12632.5</v>
      </c>
      <c r="I1199" s="36">
        <f>ROUND(H1199-(H1199*I2/100),2)</f>
        <v>12632.5</v>
      </c>
      <c r="J1199" s="17">
        <v>27</v>
      </c>
      <c r="K1199" s="18"/>
      <c r="L1199" s="18"/>
      <c r="M1199" s="20"/>
      <c r="N1199" s="37">
        <f t="shared" si="53"/>
        <v>0</v>
      </c>
      <c r="O1199" s="21">
        <v>4.4000000000000004</v>
      </c>
      <c r="P1199" s="22">
        <v>1.8259000000000001E-2</v>
      </c>
    </row>
    <row r="1200" spans="1:16" s="1" customFormat="1" ht="119.1" customHeight="1" outlineLevel="3" x14ac:dyDescent="0.2">
      <c r="A1200" s="11">
        <v>219326</v>
      </c>
      <c r="B1200" s="12" t="s">
        <v>2308</v>
      </c>
      <c r="C1200" s="12" t="s">
        <v>50</v>
      </c>
      <c r="D1200" s="13"/>
      <c r="E1200" s="14" t="s">
        <v>2309</v>
      </c>
      <c r="F1200" s="15" t="s">
        <v>24</v>
      </c>
      <c r="G1200" s="16"/>
      <c r="H1200" s="36">
        <v>4476.6000000000004</v>
      </c>
      <c r="I1200" s="36">
        <f>ROUND(H1200-(H1200*I2/100),2)</f>
        <v>4476.6000000000004</v>
      </c>
      <c r="J1200" s="17">
        <v>183</v>
      </c>
      <c r="K1200" s="18"/>
      <c r="L1200" s="18"/>
      <c r="M1200" s="20"/>
      <c r="N1200" s="37">
        <f t="shared" si="53"/>
        <v>0</v>
      </c>
      <c r="O1200" s="21">
        <v>4.75</v>
      </c>
      <c r="P1200" s="22">
        <v>1.4489999999999999E-2</v>
      </c>
    </row>
    <row r="1201" spans="1:16" s="1" customFormat="1" ht="119.1" customHeight="1" outlineLevel="3" x14ac:dyDescent="0.2">
      <c r="A1201" s="11">
        <v>219975</v>
      </c>
      <c r="B1201" s="12" t="s">
        <v>2310</v>
      </c>
      <c r="C1201" s="12" t="s">
        <v>50</v>
      </c>
      <c r="D1201" s="28"/>
      <c r="E1201" s="29" t="s">
        <v>2311</v>
      </c>
      <c r="F1201" s="30" t="s">
        <v>24</v>
      </c>
      <c r="G1201" s="31" t="s">
        <v>209</v>
      </c>
      <c r="H1201" s="36">
        <v>7711.6</v>
      </c>
      <c r="I1201" s="36">
        <f>ROUND(H1201-(H1201*I2/100),2)</f>
        <v>7711.6</v>
      </c>
      <c r="J1201" s="17">
        <v>153</v>
      </c>
      <c r="K1201" s="18"/>
      <c r="L1201" s="18"/>
      <c r="M1201" s="20"/>
      <c r="N1201" s="37">
        <f t="shared" si="53"/>
        <v>0</v>
      </c>
      <c r="O1201" s="21">
        <v>2.5</v>
      </c>
      <c r="P1201" s="22">
        <v>2E-3</v>
      </c>
    </row>
    <row r="1202" spans="1:16" s="8" customFormat="1" ht="15.95" customHeight="1" outlineLevel="2" x14ac:dyDescent="0.25">
      <c r="A1202" s="9"/>
      <c r="B1202" s="10"/>
      <c r="C1202" s="10"/>
      <c r="D1202" s="10" t="s">
        <v>2312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</row>
    <row r="1203" spans="1:16" s="1" customFormat="1" ht="119.1" customHeight="1" outlineLevel="3" x14ac:dyDescent="0.2">
      <c r="A1203" s="11">
        <v>208904</v>
      </c>
      <c r="B1203" s="12" t="s">
        <v>2313</v>
      </c>
      <c r="C1203" s="12" t="s">
        <v>22</v>
      </c>
      <c r="D1203" s="13"/>
      <c r="E1203" s="14" t="s">
        <v>2314</v>
      </c>
      <c r="F1203" s="15" t="s">
        <v>24</v>
      </c>
      <c r="G1203" s="16"/>
      <c r="H1203" s="36">
        <v>6414.3</v>
      </c>
      <c r="I1203" s="36">
        <f>ROUND(H1203-(H1203*I2/100),2)</f>
        <v>6414.3</v>
      </c>
      <c r="J1203" s="17">
        <v>49</v>
      </c>
      <c r="K1203" s="18"/>
      <c r="L1203" s="18"/>
      <c r="M1203" s="20"/>
      <c r="N1203" s="37">
        <f t="shared" ref="N1203:N1218" si="54">I1203*M1203</f>
        <v>0</v>
      </c>
      <c r="O1203" s="21">
        <v>2.8</v>
      </c>
      <c r="P1203" s="22">
        <v>7.6470000000000002E-3</v>
      </c>
    </row>
    <row r="1204" spans="1:16" s="1" customFormat="1" ht="119.1" customHeight="1" outlineLevel="3" x14ac:dyDescent="0.2">
      <c r="A1204" s="11">
        <v>180955</v>
      </c>
      <c r="B1204" s="12" t="s">
        <v>2315</v>
      </c>
      <c r="C1204" s="12" t="s">
        <v>22</v>
      </c>
      <c r="D1204" s="13"/>
      <c r="E1204" s="14" t="s">
        <v>2316</v>
      </c>
      <c r="F1204" s="15" t="s">
        <v>24</v>
      </c>
      <c r="G1204" s="16"/>
      <c r="H1204" s="36">
        <v>9425.1</v>
      </c>
      <c r="I1204" s="36">
        <f>ROUND(H1204-(H1204*I2/100),2)</f>
        <v>9425.1</v>
      </c>
      <c r="J1204" s="17">
        <v>43</v>
      </c>
      <c r="K1204" s="18"/>
      <c r="L1204" s="18"/>
      <c r="M1204" s="20"/>
      <c r="N1204" s="37">
        <f t="shared" si="54"/>
        <v>0</v>
      </c>
      <c r="O1204" s="21">
        <v>3.95</v>
      </c>
      <c r="P1204" s="22">
        <v>9.7370000000000009E-3</v>
      </c>
    </row>
    <row r="1205" spans="1:16" s="1" customFormat="1" ht="119.1" customHeight="1" outlineLevel="3" x14ac:dyDescent="0.2">
      <c r="A1205" s="11">
        <v>196204</v>
      </c>
      <c r="B1205" s="12" t="s">
        <v>2317</v>
      </c>
      <c r="C1205" s="12" t="s">
        <v>22</v>
      </c>
      <c r="D1205" s="13"/>
      <c r="E1205" s="14" t="s">
        <v>2318</v>
      </c>
      <c r="F1205" s="15" t="s">
        <v>24</v>
      </c>
      <c r="G1205" s="16"/>
      <c r="H1205" s="36">
        <v>4249.1000000000004</v>
      </c>
      <c r="I1205" s="36">
        <f>ROUND(H1205-(H1205*I2/100),2)</f>
        <v>4249.1000000000004</v>
      </c>
      <c r="J1205" s="17">
        <v>9</v>
      </c>
      <c r="K1205" s="18"/>
      <c r="L1205" s="18"/>
      <c r="M1205" s="20"/>
      <c r="N1205" s="37">
        <f t="shared" si="54"/>
        <v>0</v>
      </c>
      <c r="O1205" s="21">
        <v>1.38</v>
      </c>
      <c r="P1205" s="22">
        <v>4.0489999999999996E-3</v>
      </c>
    </row>
    <row r="1206" spans="1:16" s="1" customFormat="1" ht="119.1" customHeight="1" outlineLevel="3" x14ac:dyDescent="0.2">
      <c r="A1206" s="11">
        <v>197650</v>
      </c>
      <c r="B1206" s="12" t="s">
        <v>2319</v>
      </c>
      <c r="C1206" s="12" t="s">
        <v>22</v>
      </c>
      <c r="D1206" s="13"/>
      <c r="E1206" s="14" t="s">
        <v>2320</v>
      </c>
      <c r="F1206" s="15" t="s">
        <v>24</v>
      </c>
      <c r="G1206" s="16"/>
      <c r="H1206" s="36">
        <v>5424.7</v>
      </c>
      <c r="I1206" s="36">
        <f>ROUND(H1206-(H1206*I2/100),2)</f>
        <v>5424.7</v>
      </c>
      <c r="J1206" s="17">
        <v>16</v>
      </c>
      <c r="K1206" s="18"/>
      <c r="L1206" s="18"/>
      <c r="M1206" s="20"/>
      <c r="N1206" s="37">
        <f t="shared" si="54"/>
        <v>0</v>
      </c>
      <c r="O1206" s="21">
        <v>3</v>
      </c>
      <c r="P1206" s="22">
        <v>1.0238000000000001E-2</v>
      </c>
    </row>
    <row r="1207" spans="1:16" s="1" customFormat="1" ht="119.1" customHeight="1" outlineLevel="3" x14ac:dyDescent="0.2">
      <c r="A1207" s="11">
        <v>189169</v>
      </c>
      <c r="B1207" s="12" t="s">
        <v>2321</v>
      </c>
      <c r="C1207" s="12" t="s">
        <v>22</v>
      </c>
      <c r="D1207" s="13"/>
      <c r="E1207" s="14" t="s">
        <v>2322</v>
      </c>
      <c r="F1207" s="15" t="s">
        <v>24</v>
      </c>
      <c r="G1207" s="16"/>
      <c r="H1207" s="36">
        <v>5249.9</v>
      </c>
      <c r="I1207" s="36">
        <f>ROUND(H1207-(H1207*I2/100),2)</f>
        <v>5249.9</v>
      </c>
      <c r="J1207" s="17">
        <v>33</v>
      </c>
      <c r="K1207" s="18"/>
      <c r="L1207" s="18"/>
      <c r="M1207" s="20"/>
      <c r="N1207" s="37">
        <f t="shared" si="54"/>
        <v>0</v>
      </c>
      <c r="O1207" s="21">
        <v>2.4169999999999998</v>
      </c>
      <c r="P1207" s="22">
        <v>9.9000000000000008E-3</v>
      </c>
    </row>
    <row r="1208" spans="1:16" s="1" customFormat="1" ht="119.1" customHeight="1" outlineLevel="3" x14ac:dyDescent="0.2">
      <c r="A1208" s="11">
        <v>219977</v>
      </c>
      <c r="B1208" s="12" t="s">
        <v>2323</v>
      </c>
      <c r="C1208" s="12" t="s">
        <v>50</v>
      </c>
      <c r="D1208" s="28"/>
      <c r="E1208" s="29" t="s">
        <v>2324</v>
      </c>
      <c r="F1208" s="30" t="s">
        <v>24</v>
      </c>
      <c r="G1208" s="31" t="s">
        <v>209</v>
      </c>
      <c r="H1208" s="36">
        <v>5017.1000000000004</v>
      </c>
      <c r="I1208" s="36">
        <f>ROUND(H1208-(H1208*I2/100),2)</f>
        <v>5017.1000000000004</v>
      </c>
      <c r="J1208" s="17">
        <v>88</v>
      </c>
      <c r="K1208" s="18"/>
      <c r="L1208" s="18"/>
      <c r="M1208" s="20"/>
      <c r="N1208" s="37">
        <f t="shared" si="54"/>
        <v>0</v>
      </c>
      <c r="O1208" s="21">
        <v>2.3170000000000002</v>
      </c>
      <c r="P1208" s="22">
        <v>9.1739999999999999E-3</v>
      </c>
    </row>
    <row r="1209" spans="1:16" s="1" customFormat="1" ht="119.1" customHeight="1" outlineLevel="3" x14ac:dyDescent="0.2">
      <c r="A1209" s="11">
        <v>184230</v>
      </c>
      <c r="B1209" s="12" t="s">
        <v>2325</v>
      </c>
      <c r="C1209" s="12" t="s">
        <v>22</v>
      </c>
      <c r="D1209" s="13"/>
      <c r="E1209" s="14" t="s">
        <v>2326</v>
      </c>
      <c r="F1209" s="15" t="s">
        <v>24</v>
      </c>
      <c r="G1209" s="16"/>
      <c r="H1209" s="36">
        <v>12096.1</v>
      </c>
      <c r="I1209" s="36">
        <f>ROUND(H1209-(H1209*I2/100),2)</f>
        <v>12096.1</v>
      </c>
      <c r="J1209" s="17">
        <v>6</v>
      </c>
      <c r="K1209" s="18"/>
      <c r="L1209" s="18"/>
      <c r="M1209" s="20"/>
      <c r="N1209" s="37">
        <f t="shared" si="54"/>
        <v>0</v>
      </c>
      <c r="O1209" s="21">
        <v>4.3499999999999996</v>
      </c>
      <c r="P1209" s="22">
        <v>2.1512E-2</v>
      </c>
    </row>
    <row r="1210" spans="1:16" s="1" customFormat="1" ht="119.1" customHeight="1" outlineLevel="3" x14ac:dyDescent="0.2">
      <c r="A1210" s="11">
        <v>192949</v>
      </c>
      <c r="B1210" s="12" t="s">
        <v>2327</v>
      </c>
      <c r="C1210" s="12" t="s">
        <v>22</v>
      </c>
      <c r="D1210" s="13"/>
      <c r="E1210" s="14" t="s">
        <v>2328</v>
      </c>
      <c r="F1210" s="15" t="s">
        <v>24</v>
      </c>
      <c r="G1210" s="16"/>
      <c r="H1210" s="36">
        <v>14515.7</v>
      </c>
      <c r="I1210" s="36">
        <f>ROUND(H1210-(H1210*I2/100),2)</f>
        <v>14515.7</v>
      </c>
      <c r="J1210" s="17">
        <v>1</v>
      </c>
      <c r="K1210" s="18"/>
      <c r="L1210" s="18"/>
      <c r="M1210" s="20"/>
      <c r="N1210" s="37">
        <f t="shared" si="54"/>
        <v>0</v>
      </c>
      <c r="O1210" s="21">
        <v>5.4</v>
      </c>
      <c r="P1210" s="22">
        <v>3.1119000000000001E-2</v>
      </c>
    </row>
    <row r="1211" spans="1:16" s="1" customFormat="1" ht="119.1" customHeight="1" outlineLevel="3" x14ac:dyDescent="0.2">
      <c r="A1211" s="11">
        <v>219992</v>
      </c>
      <c r="B1211" s="12" t="s">
        <v>2329</v>
      </c>
      <c r="C1211" s="12" t="s">
        <v>50</v>
      </c>
      <c r="D1211" s="28"/>
      <c r="E1211" s="29" t="s">
        <v>2330</v>
      </c>
      <c r="F1211" s="30" t="s">
        <v>24</v>
      </c>
      <c r="G1211" s="31" t="s">
        <v>209</v>
      </c>
      <c r="H1211" s="36">
        <v>7741.6</v>
      </c>
      <c r="I1211" s="36">
        <f>ROUND(H1211-(H1211*I2/100),2)</f>
        <v>7741.6</v>
      </c>
      <c r="J1211" s="17">
        <v>41</v>
      </c>
      <c r="K1211" s="18"/>
      <c r="L1211" s="18"/>
      <c r="M1211" s="20"/>
      <c r="N1211" s="37">
        <f t="shared" si="54"/>
        <v>0</v>
      </c>
      <c r="O1211" s="21">
        <v>5.4</v>
      </c>
      <c r="P1211" s="22">
        <v>2.3939999999999999E-2</v>
      </c>
    </row>
    <row r="1212" spans="1:16" s="1" customFormat="1" ht="119.1" customHeight="1" outlineLevel="3" x14ac:dyDescent="0.2">
      <c r="A1212" s="11">
        <v>196091</v>
      </c>
      <c r="B1212" s="12" t="s">
        <v>2331</v>
      </c>
      <c r="C1212" s="12" t="s">
        <v>22</v>
      </c>
      <c r="D1212" s="13"/>
      <c r="E1212" s="14" t="s">
        <v>2332</v>
      </c>
      <c r="F1212" s="15" t="s">
        <v>24</v>
      </c>
      <c r="G1212" s="16"/>
      <c r="H1212" s="36">
        <v>439.3</v>
      </c>
      <c r="I1212" s="36">
        <f>ROUND(H1212-(H1212*I2/100),2)</f>
        <v>439.3</v>
      </c>
      <c r="J1212" s="17">
        <v>32</v>
      </c>
      <c r="K1212" s="18"/>
      <c r="L1212" s="18"/>
      <c r="M1212" s="20"/>
      <c r="N1212" s="37">
        <f t="shared" si="54"/>
        <v>0</v>
      </c>
      <c r="O1212" s="21">
        <v>0.2</v>
      </c>
      <c r="P1212" s="22">
        <v>7.5299999999999998E-4</v>
      </c>
    </row>
    <row r="1213" spans="1:16" s="1" customFormat="1" ht="119.1" customHeight="1" outlineLevel="3" x14ac:dyDescent="0.2">
      <c r="A1213" s="11">
        <v>212852</v>
      </c>
      <c r="B1213" s="12" t="s">
        <v>2333</v>
      </c>
      <c r="C1213" s="12" t="s">
        <v>22</v>
      </c>
      <c r="D1213" s="13"/>
      <c r="E1213" s="14" t="s">
        <v>2334</v>
      </c>
      <c r="F1213" s="15" t="s">
        <v>24</v>
      </c>
      <c r="G1213" s="16"/>
      <c r="H1213" s="36">
        <v>817.7</v>
      </c>
      <c r="I1213" s="36">
        <f>ROUND(H1213-(H1213*I2/100),2)</f>
        <v>817.7</v>
      </c>
      <c r="J1213" s="17">
        <v>40</v>
      </c>
      <c r="K1213" s="18"/>
      <c r="L1213" s="18"/>
      <c r="M1213" s="20"/>
      <c r="N1213" s="37">
        <f t="shared" si="54"/>
        <v>0</v>
      </c>
      <c r="O1213" s="21">
        <v>0.3</v>
      </c>
      <c r="P1213" s="22">
        <v>5.0000000000000001E-4</v>
      </c>
    </row>
    <row r="1214" spans="1:16" s="1" customFormat="1" ht="119.1" customHeight="1" outlineLevel="3" x14ac:dyDescent="0.2">
      <c r="A1214" s="11">
        <v>199648</v>
      </c>
      <c r="B1214" s="12" t="s">
        <v>2335</v>
      </c>
      <c r="C1214" s="12" t="s">
        <v>22</v>
      </c>
      <c r="D1214" s="13"/>
      <c r="E1214" s="14" t="s">
        <v>2336</v>
      </c>
      <c r="F1214" s="15" t="s">
        <v>24</v>
      </c>
      <c r="G1214" s="16"/>
      <c r="H1214" s="36">
        <v>508.5</v>
      </c>
      <c r="I1214" s="36">
        <f>ROUND(H1214-(H1214*I2/100),2)</f>
        <v>508.5</v>
      </c>
      <c r="J1214" s="17">
        <v>6</v>
      </c>
      <c r="K1214" s="18"/>
      <c r="L1214" s="18"/>
      <c r="M1214" s="20"/>
      <c r="N1214" s="37">
        <f t="shared" si="54"/>
        <v>0</v>
      </c>
      <c r="O1214" s="21">
        <v>0.1</v>
      </c>
      <c r="P1214" s="22">
        <v>5.0000000000000001E-4</v>
      </c>
    </row>
    <row r="1215" spans="1:16" s="1" customFormat="1" ht="119.1" customHeight="1" outlineLevel="3" x14ac:dyDescent="0.2">
      <c r="A1215" s="11">
        <v>196092</v>
      </c>
      <c r="B1215" s="12" t="s">
        <v>2337</v>
      </c>
      <c r="C1215" s="12" t="s">
        <v>22</v>
      </c>
      <c r="D1215" s="23"/>
      <c r="E1215" s="24" t="s">
        <v>2338</v>
      </c>
      <c r="F1215" s="25" t="s">
        <v>24</v>
      </c>
      <c r="G1215" s="26" t="s">
        <v>39</v>
      </c>
      <c r="H1215" s="36">
        <v>385.29</v>
      </c>
      <c r="I1215" s="36">
        <f>H1215</f>
        <v>385.29</v>
      </c>
      <c r="J1215" s="17">
        <v>13</v>
      </c>
      <c r="K1215" s="18"/>
      <c r="L1215" s="18"/>
      <c r="M1215" s="20"/>
      <c r="N1215" s="37">
        <f t="shared" si="54"/>
        <v>0</v>
      </c>
      <c r="O1215" s="21">
        <v>0.3</v>
      </c>
      <c r="P1215" s="22">
        <v>9.5399999999999999E-4</v>
      </c>
    </row>
    <row r="1216" spans="1:16" s="1" customFormat="1" ht="119.1" customHeight="1" outlineLevel="3" x14ac:dyDescent="0.2">
      <c r="A1216" s="11">
        <v>180940</v>
      </c>
      <c r="B1216" s="12" t="s">
        <v>2339</v>
      </c>
      <c r="C1216" s="12" t="s">
        <v>22</v>
      </c>
      <c r="D1216" s="23"/>
      <c r="E1216" s="24" t="s">
        <v>2340</v>
      </c>
      <c r="F1216" s="25" t="s">
        <v>24</v>
      </c>
      <c r="G1216" s="26" t="s">
        <v>39</v>
      </c>
      <c r="H1216" s="36">
        <v>802.35</v>
      </c>
      <c r="I1216" s="36">
        <f>H1216</f>
        <v>802.35</v>
      </c>
      <c r="J1216" s="17">
        <v>8</v>
      </c>
      <c r="K1216" s="18"/>
      <c r="L1216" s="18"/>
      <c r="M1216" s="20"/>
      <c r="N1216" s="37">
        <f t="shared" si="54"/>
        <v>0</v>
      </c>
      <c r="O1216" s="21">
        <v>0.46800000000000003</v>
      </c>
      <c r="P1216" s="22">
        <v>9.1699999999999995E-4</v>
      </c>
    </row>
    <row r="1217" spans="1:16" s="1" customFormat="1" ht="119.1" customHeight="1" outlineLevel="3" x14ac:dyDescent="0.2">
      <c r="A1217" s="11">
        <v>208674</v>
      </c>
      <c r="B1217" s="12" t="s">
        <v>2341</v>
      </c>
      <c r="C1217" s="12" t="s">
        <v>22</v>
      </c>
      <c r="D1217" s="13"/>
      <c r="E1217" s="14" t="s">
        <v>2342</v>
      </c>
      <c r="F1217" s="15" t="s">
        <v>24</v>
      </c>
      <c r="G1217" s="16"/>
      <c r="H1217" s="36">
        <v>858.8</v>
      </c>
      <c r="I1217" s="36">
        <f>ROUND(H1217-(H1217*I2/100),2)</f>
        <v>858.8</v>
      </c>
      <c r="J1217" s="17">
        <v>19</v>
      </c>
      <c r="K1217" s="18"/>
      <c r="L1217" s="18"/>
      <c r="M1217" s="20"/>
      <c r="N1217" s="37">
        <f t="shared" si="54"/>
        <v>0</v>
      </c>
      <c r="O1217" s="21">
        <v>0.3</v>
      </c>
      <c r="P1217" s="22">
        <v>2.0000000000000001E-4</v>
      </c>
    </row>
    <row r="1218" spans="1:16" s="1" customFormat="1" ht="119.1" customHeight="1" outlineLevel="3" x14ac:dyDescent="0.2">
      <c r="A1218" s="11">
        <v>199657</v>
      </c>
      <c r="B1218" s="12" t="s">
        <v>2343</v>
      </c>
      <c r="C1218" s="12" t="s">
        <v>22</v>
      </c>
      <c r="D1218" s="13"/>
      <c r="E1218" s="14" t="s">
        <v>2344</v>
      </c>
      <c r="F1218" s="15" t="s">
        <v>24</v>
      </c>
      <c r="G1218" s="16"/>
      <c r="H1218" s="36">
        <v>592.6</v>
      </c>
      <c r="I1218" s="36">
        <f>ROUND(H1218-(H1218*I2/100),2)</f>
        <v>592.6</v>
      </c>
      <c r="J1218" s="17">
        <v>27</v>
      </c>
      <c r="K1218" s="18"/>
      <c r="L1218" s="18"/>
      <c r="M1218" s="20"/>
      <c r="N1218" s="37">
        <f t="shared" si="54"/>
        <v>0</v>
      </c>
      <c r="O1218" s="21">
        <v>0.2</v>
      </c>
      <c r="P1218" s="22">
        <v>2.9999999999999997E-4</v>
      </c>
    </row>
    <row r="1219" spans="1:16" s="8" customFormat="1" ht="15.95" customHeight="1" outlineLevel="2" x14ac:dyDescent="0.25">
      <c r="A1219" s="9"/>
      <c r="B1219" s="10"/>
      <c r="C1219" s="10"/>
      <c r="D1219" s="10" t="s">
        <v>2345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</row>
    <row r="1220" spans="1:16" s="1" customFormat="1" ht="119.1" customHeight="1" outlineLevel="3" x14ac:dyDescent="0.2">
      <c r="A1220" s="11">
        <v>186124</v>
      </c>
      <c r="B1220" s="12" t="s">
        <v>2346</v>
      </c>
      <c r="C1220" s="12" t="s">
        <v>22</v>
      </c>
      <c r="D1220" s="13"/>
      <c r="E1220" s="14" t="s">
        <v>2347</v>
      </c>
      <c r="F1220" s="15" t="s">
        <v>24</v>
      </c>
      <c r="G1220" s="16"/>
      <c r="H1220" s="36">
        <v>11558.7</v>
      </c>
      <c r="I1220" s="36">
        <f>ROUND(H1220-(H1220*I2/100),2)</f>
        <v>11558.7</v>
      </c>
      <c r="J1220" s="17">
        <v>1</v>
      </c>
      <c r="K1220" s="18"/>
      <c r="L1220" s="18"/>
      <c r="M1220" s="20"/>
      <c r="N1220" s="37">
        <f t="shared" ref="N1220:N1226" si="55">I1220*M1220</f>
        <v>0</v>
      </c>
      <c r="O1220" s="21">
        <v>6.3</v>
      </c>
      <c r="P1220" s="22">
        <v>6.8599999999999998E-3</v>
      </c>
    </row>
    <row r="1221" spans="1:16" s="1" customFormat="1" ht="119.1" customHeight="1" outlineLevel="3" x14ac:dyDescent="0.2">
      <c r="A1221" s="11">
        <v>188449</v>
      </c>
      <c r="B1221" s="12" t="s">
        <v>2348</v>
      </c>
      <c r="C1221" s="12" t="s">
        <v>22</v>
      </c>
      <c r="D1221" s="13"/>
      <c r="E1221" s="14" t="s">
        <v>2349</v>
      </c>
      <c r="F1221" s="15" t="s">
        <v>24</v>
      </c>
      <c r="G1221" s="16"/>
      <c r="H1221" s="36">
        <v>5708.4</v>
      </c>
      <c r="I1221" s="36">
        <f>ROUND(H1221-(H1221*I2/100),2)</f>
        <v>5708.4</v>
      </c>
      <c r="J1221" s="17">
        <v>1</v>
      </c>
      <c r="K1221" s="18"/>
      <c r="L1221" s="18"/>
      <c r="M1221" s="20"/>
      <c r="N1221" s="37">
        <f t="shared" si="55"/>
        <v>0</v>
      </c>
      <c r="O1221" s="21">
        <v>1.26</v>
      </c>
      <c r="P1221" s="22">
        <v>7.2379999999999996E-3</v>
      </c>
    </row>
    <row r="1222" spans="1:16" s="1" customFormat="1" ht="119.1" customHeight="1" outlineLevel="3" x14ac:dyDescent="0.2">
      <c r="A1222" s="11">
        <v>188450</v>
      </c>
      <c r="B1222" s="12" t="s">
        <v>2350</v>
      </c>
      <c r="C1222" s="12" t="s">
        <v>22</v>
      </c>
      <c r="D1222" s="13"/>
      <c r="E1222" s="14" t="s">
        <v>2351</v>
      </c>
      <c r="F1222" s="15" t="s">
        <v>24</v>
      </c>
      <c r="G1222" s="16"/>
      <c r="H1222" s="36">
        <v>2393.9</v>
      </c>
      <c r="I1222" s="36">
        <f>ROUND(H1222-(H1222*I2/100),2)</f>
        <v>2393.9</v>
      </c>
      <c r="J1222" s="17">
        <v>1</v>
      </c>
      <c r="K1222" s="18"/>
      <c r="L1222" s="18"/>
      <c r="M1222" s="20"/>
      <c r="N1222" s="37">
        <f t="shared" si="55"/>
        <v>0</v>
      </c>
      <c r="O1222" s="21">
        <v>1.2</v>
      </c>
      <c r="P1222" s="22">
        <v>4.7590000000000002E-3</v>
      </c>
    </row>
    <row r="1223" spans="1:16" s="1" customFormat="1" ht="119.1" customHeight="1" outlineLevel="3" x14ac:dyDescent="0.2">
      <c r="A1223" s="11">
        <v>188549</v>
      </c>
      <c r="B1223" s="12" t="s">
        <v>2352</v>
      </c>
      <c r="C1223" s="12" t="s">
        <v>22</v>
      </c>
      <c r="D1223" s="13"/>
      <c r="E1223" s="14" t="s">
        <v>2353</v>
      </c>
      <c r="F1223" s="15" t="s">
        <v>113</v>
      </c>
      <c r="G1223" s="16"/>
      <c r="H1223" s="36">
        <v>416.1</v>
      </c>
      <c r="I1223" s="36">
        <f>ROUND(H1223-(H1223*I2/100),2)</f>
        <v>416.1</v>
      </c>
      <c r="J1223" s="17">
        <v>200</v>
      </c>
      <c r="K1223" s="18"/>
      <c r="L1223" s="18"/>
      <c r="M1223" s="20"/>
      <c r="N1223" s="37">
        <f t="shared" si="55"/>
        <v>0</v>
      </c>
      <c r="O1223" s="21">
        <v>1.0629999999999999</v>
      </c>
      <c r="P1223" s="22">
        <v>3.6000000000000002E-4</v>
      </c>
    </row>
    <row r="1224" spans="1:16" s="1" customFormat="1" ht="119.1" customHeight="1" outlineLevel="3" x14ac:dyDescent="0.2">
      <c r="A1224" s="11">
        <v>188550</v>
      </c>
      <c r="B1224" s="12" t="s">
        <v>2354</v>
      </c>
      <c r="C1224" s="12" t="s">
        <v>22</v>
      </c>
      <c r="D1224" s="13"/>
      <c r="E1224" s="14" t="s">
        <v>2355</v>
      </c>
      <c r="F1224" s="15" t="s">
        <v>113</v>
      </c>
      <c r="G1224" s="16"/>
      <c r="H1224" s="36">
        <v>615.9</v>
      </c>
      <c r="I1224" s="36">
        <f>ROUND(H1224-(H1224*I2/100),2)</f>
        <v>615.9</v>
      </c>
      <c r="J1224" s="17">
        <v>148</v>
      </c>
      <c r="K1224" s="18"/>
      <c r="L1224" s="18"/>
      <c r="M1224" s="20"/>
      <c r="N1224" s="37">
        <f t="shared" si="55"/>
        <v>0</v>
      </c>
      <c r="O1224" s="21">
        <v>1.7330000000000001</v>
      </c>
      <c r="P1224" s="22">
        <v>5.5199999999999997E-4</v>
      </c>
    </row>
    <row r="1225" spans="1:16" s="1" customFormat="1" ht="119.1" customHeight="1" outlineLevel="3" x14ac:dyDescent="0.2">
      <c r="A1225" s="11">
        <v>196146</v>
      </c>
      <c r="B1225" s="12" t="s">
        <v>2356</v>
      </c>
      <c r="C1225" s="12" t="s">
        <v>50</v>
      </c>
      <c r="D1225" s="13"/>
      <c r="E1225" s="14" t="s">
        <v>2357</v>
      </c>
      <c r="F1225" s="15" t="s">
        <v>24</v>
      </c>
      <c r="G1225" s="16"/>
      <c r="H1225" s="36">
        <v>570.70000000000005</v>
      </c>
      <c r="I1225" s="36">
        <f>ROUND(H1225-(H1225*I2/100),2)</f>
        <v>570.70000000000005</v>
      </c>
      <c r="J1225" s="17">
        <v>21</v>
      </c>
      <c r="K1225" s="18"/>
      <c r="L1225" s="18"/>
      <c r="M1225" s="20"/>
      <c r="N1225" s="37">
        <f t="shared" si="55"/>
        <v>0</v>
      </c>
      <c r="O1225" s="21">
        <v>0.39200000000000002</v>
      </c>
      <c r="P1225" s="22">
        <v>3.7669999999999999E-3</v>
      </c>
    </row>
    <row r="1226" spans="1:16" s="1" customFormat="1" ht="119.1" customHeight="1" outlineLevel="3" x14ac:dyDescent="0.2">
      <c r="A1226" s="11">
        <v>196144</v>
      </c>
      <c r="B1226" s="12" t="s">
        <v>2358</v>
      </c>
      <c r="C1226" s="12" t="s">
        <v>50</v>
      </c>
      <c r="D1226" s="13"/>
      <c r="E1226" s="14" t="s">
        <v>2359</v>
      </c>
      <c r="F1226" s="15" t="s">
        <v>24</v>
      </c>
      <c r="G1226" s="16"/>
      <c r="H1226" s="36">
        <v>255.6</v>
      </c>
      <c r="I1226" s="36">
        <f>ROUND(H1226-(H1226*I2/100),2)</f>
        <v>255.6</v>
      </c>
      <c r="J1226" s="17">
        <v>20</v>
      </c>
      <c r="K1226" s="18"/>
      <c r="L1226" s="18"/>
      <c r="M1226" s="20"/>
      <c r="N1226" s="37">
        <f t="shared" si="55"/>
        <v>0</v>
      </c>
      <c r="O1226" s="21">
        <v>0.18</v>
      </c>
      <c r="P1226" s="22">
        <v>1.3370000000000001E-3</v>
      </c>
    </row>
    <row r="1227" spans="1:16" s="8" customFormat="1" ht="15.95" customHeight="1" outlineLevel="2" x14ac:dyDescent="0.25">
      <c r="A1227" s="9"/>
      <c r="B1227" s="10"/>
      <c r="C1227" s="10"/>
      <c r="D1227" s="10" t="s">
        <v>2360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</row>
    <row r="1228" spans="1:16" s="1" customFormat="1" ht="119.1" customHeight="1" outlineLevel="3" x14ac:dyDescent="0.2">
      <c r="A1228" s="11">
        <v>216969</v>
      </c>
      <c r="B1228" s="12" t="s">
        <v>2361</v>
      </c>
      <c r="C1228" s="12" t="s">
        <v>50</v>
      </c>
      <c r="D1228" s="13"/>
      <c r="E1228" s="14" t="s">
        <v>2362</v>
      </c>
      <c r="F1228" s="15" t="s">
        <v>24</v>
      </c>
      <c r="G1228" s="16"/>
      <c r="H1228" s="36">
        <v>4457.8999999999996</v>
      </c>
      <c r="I1228" s="36">
        <f>ROUND(H1228-(H1228*I2/100),2)</f>
        <v>4457.8999999999996</v>
      </c>
      <c r="J1228" s="17">
        <v>6</v>
      </c>
      <c r="K1228" s="18"/>
      <c r="L1228" s="18"/>
      <c r="M1228" s="20"/>
      <c r="N1228" s="37">
        <f t="shared" ref="N1228:N1238" si="56">I1228*M1228</f>
        <v>0</v>
      </c>
      <c r="O1228" s="21">
        <v>3.3</v>
      </c>
      <c r="P1228" s="22">
        <v>2.7779000000000002E-2</v>
      </c>
    </row>
    <row r="1229" spans="1:16" s="1" customFormat="1" ht="119.1" customHeight="1" outlineLevel="3" x14ac:dyDescent="0.2">
      <c r="A1229" s="11">
        <v>216970</v>
      </c>
      <c r="B1229" s="12" t="s">
        <v>2363</v>
      </c>
      <c r="C1229" s="12" t="s">
        <v>50</v>
      </c>
      <c r="D1229" s="13"/>
      <c r="E1229" s="14" t="s">
        <v>2364</v>
      </c>
      <c r="F1229" s="15" t="s">
        <v>24</v>
      </c>
      <c r="G1229" s="16"/>
      <c r="H1229" s="36">
        <v>5101</v>
      </c>
      <c r="I1229" s="36">
        <f>ROUND(H1229-(H1229*I2/100),2)</f>
        <v>5101</v>
      </c>
      <c r="J1229" s="17">
        <v>3</v>
      </c>
      <c r="K1229" s="18"/>
      <c r="L1229" s="18"/>
      <c r="M1229" s="20"/>
      <c r="N1229" s="37">
        <f t="shared" si="56"/>
        <v>0</v>
      </c>
      <c r="O1229" s="21">
        <v>3.8</v>
      </c>
      <c r="P1229" s="22">
        <v>3.8399999999999997E-2</v>
      </c>
    </row>
    <row r="1230" spans="1:16" s="1" customFormat="1" ht="119.1" customHeight="1" outlineLevel="3" x14ac:dyDescent="0.2">
      <c r="A1230" s="11">
        <v>196305</v>
      </c>
      <c r="B1230" s="12" t="s">
        <v>2365</v>
      </c>
      <c r="C1230" s="12" t="s">
        <v>50</v>
      </c>
      <c r="D1230" s="13"/>
      <c r="E1230" s="14" t="s">
        <v>2366</v>
      </c>
      <c r="F1230" s="15" t="s">
        <v>24</v>
      </c>
      <c r="G1230" s="16"/>
      <c r="H1230" s="36">
        <v>5216.8</v>
      </c>
      <c r="I1230" s="36">
        <f>ROUND(H1230-(H1230*I2/100),2)</f>
        <v>5216.8</v>
      </c>
      <c r="J1230" s="17">
        <v>66</v>
      </c>
      <c r="K1230" s="18"/>
      <c r="L1230" s="18"/>
      <c r="M1230" s="20"/>
      <c r="N1230" s="37">
        <f t="shared" si="56"/>
        <v>0</v>
      </c>
      <c r="O1230" s="21">
        <v>4.4000000000000004</v>
      </c>
      <c r="P1230" s="22">
        <v>5.0686000000000002E-2</v>
      </c>
    </row>
    <row r="1231" spans="1:16" s="1" customFormat="1" ht="119.1" customHeight="1" outlineLevel="3" x14ac:dyDescent="0.2">
      <c r="A1231" s="11">
        <v>197339</v>
      </c>
      <c r="B1231" s="12" t="s">
        <v>2367</v>
      </c>
      <c r="C1231" s="12" t="s">
        <v>50</v>
      </c>
      <c r="D1231" s="13"/>
      <c r="E1231" s="14" t="s">
        <v>2368</v>
      </c>
      <c r="F1231" s="15" t="s">
        <v>24</v>
      </c>
      <c r="G1231" s="16"/>
      <c r="H1231" s="36">
        <v>6388.9</v>
      </c>
      <c r="I1231" s="36">
        <f>ROUND(H1231-(H1231*I2/100),2)</f>
        <v>6388.9</v>
      </c>
      <c r="J1231" s="17">
        <v>55</v>
      </c>
      <c r="K1231" s="18"/>
      <c r="L1231" s="18"/>
      <c r="M1231" s="20"/>
      <c r="N1231" s="37">
        <f t="shared" si="56"/>
        <v>0</v>
      </c>
      <c r="O1231" s="21">
        <v>5</v>
      </c>
      <c r="P1231" s="22">
        <v>7.2556999999999996E-2</v>
      </c>
    </row>
    <row r="1232" spans="1:16" s="1" customFormat="1" ht="119.1" customHeight="1" outlineLevel="3" x14ac:dyDescent="0.2">
      <c r="A1232" s="11">
        <v>165149</v>
      </c>
      <c r="B1232" s="12" t="s">
        <v>2369</v>
      </c>
      <c r="C1232" s="12" t="s">
        <v>22</v>
      </c>
      <c r="D1232" s="13"/>
      <c r="E1232" s="14" t="s">
        <v>2370</v>
      </c>
      <c r="F1232" s="15" t="s">
        <v>24</v>
      </c>
      <c r="G1232" s="16"/>
      <c r="H1232" s="36">
        <v>8215.1</v>
      </c>
      <c r="I1232" s="36">
        <f>ROUND(H1232-(H1232*I2/100),2)</f>
        <v>8215.1</v>
      </c>
      <c r="J1232" s="17">
        <v>1</v>
      </c>
      <c r="K1232" s="18"/>
      <c r="L1232" s="18"/>
      <c r="M1232" s="20"/>
      <c r="N1232" s="37">
        <f t="shared" si="56"/>
        <v>0</v>
      </c>
      <c r="O1232" s="21">
        <v>5.6</v>
      </c>
      <c r="P1232" s="22">
        <v>6.9089999999999999E-2</v>
      </c>
    </row>
    <row r="1233" spans="1:16" s="1" customFormat="1" ht="119.1" customHeight="1" outlineLevel="3" x14ac:dyDescent="0.2">
      <c r="A1233" s="11">
        <v>216971</v>
      </c>
      <c r="B1233" s="12" t="s">
        <v>2371</v>
      </c>
      <c r="C1233" s="12" t="s">
        <v>50</v>
      </c>
      <c r="D1233" s="13"/>
      <c r="E1233" s="14" t="s">
        <v>2372</v>
      </c>
      <c r="F1233" s="15" t="s">
        <v>24</v>
      </c>
      <c r="G1233" s="16"/>
      <c r="H1233" s="36">
        <v>18108.400000000001</v>
      </c>
      <c r="I1233" s="36">
        <f>ROUND(H1233-(H1233*I2/100),2)</f>
        <v>18108.400000000001</v>
      </c>
      <c r="J1233" s="17">
        <v>22</v>
      </c>
      <c r="K1233" s="18"/>
      <c r="L1233" s="18"/>
      <c r="M1233" s="20"/>
      <c r="N1233" s="37">
        <f t="shared" si="56"/>
        <v>0</v>
      </c>
      <c r="O1233" s="21">
        <v>17.2</v>
      </c>
      <c r="P1233" s="22">
        <v>0.19838</v>
      </c>
    </row>
    <row r="1234" spans="1:16" s="1" customFormat="1" ht="119.1" customHeight="1" outlineLevel="3" x14ac:dyDescent="0.2">
      <c r="A1234" s="11">
        <v>216972</v>
      </c>
      <c r="B1234" s="12" t="s">
        <v>2373</v>
      </c>
      <c r="C1234" s="12" t="s">
        <v>50</v>
      </c>
      <c r="D1234" s="13"/>
      <c r="E1234" s="14" t="s">
        <v>2374</v>
      </c>
      <c r="F1234" s="15" t="s">
        <v>24</v>
      </c>
      <c r="G1234" s="16"/>
      <c r="H1234" s="36">
        <v>33000.199999999997</v>
      </c>
      <c r="I1234" s="36">
        <f>ROUND(H1234-(H1234*I2/100),2)</f>
        <v>33000.199999999997</v>
      </c>
      <c r="J1234" s="17">
        <v>4</v>
      </c>
      <c r="K1234" s="18"/>
      <c r="L1234" s="18"/>
      <c r="M1234" s="20"/>
      <c r="N1234" s="37">
        <f t="shared" si="56"/>
        <v>0</v>
      </c>
      <c r="O1234" s="21">
        <v>18.3</v>
      </c>
      <c r="P1234" s="22">
        <v>0.35798400000000002</v>
      </c>
    </row>
    <row r="1235" spans="1:16" s="1" customFormat="1" ht="119.1" customHeight="1" outlineLevel="3" x14ac:dyDescent="0.2">
      <c r="A1235" s="11">
        <v>190514</v>
      </c>
      <c r="B1235" s="12" t="s">
        <v>2375</v>
      </c>
      <c r="C1235" s="12" t="s">
        <v>22</v>
      </c>
      <c r="D1235" s="13"/>
      <c r="E1235" s="14" t="s">
        <v>2376</v>
      </c>
      <c r="F1235" s="15" t="s">
        <v>24</v>
      </c>
      <c r="G1235" s="16"/>
      <c r="H1235" s="36">
        <v>5120.8999999999996</v>
      </c>
      <c r="I1235" s="36">
        <f>ROUND(H1235-(H1235*I2/100),2)</f>
        <v>5120.8999999999996</v>
      </c>
      <c r="J1235" s="17">
        <v>18</v>
      </c>
      <c r="K1235" s="18"/>
      <c r="L1235" s="18"/>
      <c r="M1235" s="20"/>
      <c r="N1235" s="37">
        <f t="shared" si="56"/>
        <v>0</v>
      </c>
      <c r="O1235" s="21">
        <v>4.3</v>
      </c>
      <c r="P1235" s="22">
        <v>4.0656999999999999E-2</v>
      </c>
    </row>
    <row r="1236" spans="1:16" s="1" customFormat="1" ht="119.1" customHeight="1" outlineLevel="3" x14ac:dyDescent="0.2">
      <c r="A1236" s="11">
        <v>219979</v>
      </c>
      <c r="B1236" s="12" t="s">
        <v>2377</v>
      </c>
      <c r="C1236" s="12" t="s">
        <v>50</v>
      </c>
      <c r="D1236" s="28"/>
      <c r="E1236" s="29" t="s">
        <v>2378</v>
      </c>
      <c r="F1236" s="30" t="s">
        <v>24</v>
      </c>
      <c r="G1236" s="31" t="s">
        <v>209</v>
      </c>
      <c r="H1236" s="36">
        <v>6455</v>
      </c>
      <c r="I1236" s="36">
        <f>ROUND(H1236-(H1236*I2/100),2)</f>
        <v>6455</v>
      </c>
      <c r="J1236" s="17">
        <v>19</v>
      </c>
      <c r="K1236" s="18"/>
      <c r="L1236" s="18"/>
      <c r="M1236" s="20"/>
      <c r="N1236" s="37">
        <f t="shared" si="56"/>
        <v>0</v>
      </c>
      <c r="O1236" s="21">
        <v>4.0999999999999996</v>
      </c>
      <c r="P1236" s="22">
        <v>5.5120000000000002E-2</v>
      </c>
    </row>
    <row r="1237" spans="1:16" s="1" customFormat="1" ht="119.1" customHeight="1" outlineLevel="3" x14ac:dyDescent="0.2">
      <c r="A1237" s="11">
        <v>183292</v>
      </c>
      <c r="B1237" s="12" t="s">
        <v>2379</v>
      </c>
      <c r="C1237" s="12" t="s">
        <v>22</v>
      </c>
      <c r="D1237" s="13"/>
      <c r="E1237" s="14" t="s">
        <v>2380</v>
      </c>
      <c r="F1237" s="15" t="s">
        <v>24</v>
      </c>
      <c r="G1237" s="16"/>
      <c r="H1237" s="36">
        <v>14380.5</v>
      </c>
      <c r="I1237" s="36">
        <f>ROUND(H1237-(H1237*I2/100),2)</f>
        <v>14380.5</v>
      </c>
      <c r="J1237" s="17">
        <v>4</v>
      </c>
      <c r="K1237" s="18"/>
      <c r="L1237" s="18"/>
      <c r="M1237" s="20"/>
      <c r="N1237" s="37">
        <f t="shared" si="56"/>
        <v>0</v>
      </c>
      <c r="O1237" s="21">
        <v>5</v>
      </c>
      <c r="P1237" s="22">
        <v>2E-3</v>
      </c>
    </row>
    <row r="1238" spans="1:16" s="1" customFormat="1" ht="119.1" customHeight="1" outlineLevel="3" x14ac:dyDescent="0.2">
      <c r="A1238" s="11">
        <v>183291</v>
      </c>
      <c r="B1238" s="12" t="s">
        <v>2381</v>
      </c>
      <c r="C1238" s="12" t="s">
        <v>22</v>
      </c>
      <c r="D1238" s="13"/>
      <c r="E1238" s="14" t="s">
        <v>2382</v>
      </c>
      <c r="F1238" s="15" t="s">
        <v>24</v>
      </c>
      <c r="G1238" s="16"/>
      <c r="H1238" s="36">
        <v>8200</v>
      </c>
      <c r="I1238" s="36">
        <f>ROUND(H1238-(H1238*I2/100),2)</f>
        <v>8200</v>
      </c>
      <c r="J1238" s="17">
        <v>1</v>
      </c>
      <c r="K1238" s="18"/>
      <c r="L1238" s="18"/>
      <c r="M1238" s="20"/>
      <c r="N1238" s="37">
        <f t="shared" si="56"/>
        <v>0</v>
      </c>
      <c r="O1238" s="21">
        <v>4</v>
      </c>
      <c r="P1238" s="22">
        <v>2E-3</v>
      </c>
    </row>
    <row r="1239" spans="1:16" s="8" customFormat="1" ht="15.95" customHeight="1" outlineLevel="2" x14ac:dyDescent="0.25">
      <c r="A1239" s="9"/>
      <c r="B1239" s="10"/>
      <c r="C1239" s="10"/>
      <c r="D1239" s="10" t="s">
        <v>2383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</row>
    <row r="1240" spans="1:16" s="8" customFormat="1" ht="15.95" customHeight="1" outlineLevel="3" x14ac:dyDescent="0.25">
      <c r="A1240" s="9"/>
      <c r="B1240" s="10"/>
      <c r="C1240" s="10"/>
      <c r="D1240" s="10" t="s">
        <v>2384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</row>
    <row r="1241" spans="1:16" s="1" customFormat="1" ht="119.1" customHeight="1" outlineLevel="4" x14ac:dyDescent="0.2">
      <c r="A1241" s="11">
        <v>207378</v>
      </c>
      <c r="B1241" s="12" t="s">
        <v>2385</v>
      </c>
      <c r="C1241" s="12" t="s">
        <v>50</v>
      </c>
      <c r="D1241" s="13"/>
      <c r="E1241" s="14" t="s">
        <v>2386</v>
      </c>
      <c r="F1241" s="15" t="s">
        <v>24</v>
      </c>
      <c r="G1241" s="16"/>
      <c r="H1241" s="36">
        <v>2414.1</v>
      </c>
      <c r="I1241" s="36">
        <f>ROUND(H1241-(H1241*I2/100),2)</f>
        <v>2414.1</v>
      </c>
      <c r="J1241" s="17">
        <v>39</v>
      </c>
      <c r="K1241" s="18"/>
      <c r="L1241" s="18"/>
      <c r="M1241" s="20"/>
      <c r="N1241" s="37">
        <f>I1241*M1241</f>
        <v>0</v>
      </c>
      <c r="O1241" s="21">
        <v>1.8</v>
      </c>
      <c r="P1241" s="22">
        <v>3.5349999999999999E-3</v>
      </c>
    </row>
    <row r="1242" spans="1:16" s="1" customFormat="1" ht="119.1" customHeight="1" outlineLevel="4" x14ac:dyDescent="0.2">
      <c r="A1242" s="11">
        <v>175081</v>
      </c>
      <c r="B1242" s="12" t="s">
        <v>2387</v>
      </c>
      <c r="C1242" s="12" t="s">
        <v>22</v>
      </c>
      <c r="D1242" s="13"/>
      <c r="E1242" s="14" t="s">
        <v>2388</v>
      </c>
      <c r="F1242" s="15" t="s">
        <v>24</v>
      </c>
      <c r="G1242" s="16"/>
      <c r="H1242" s="36">
        <v>4777.6000000000004</v>
      </c>
      <c r="I1242" s="36">
        <f>ROUND(H1242-(H1242*I2/100),2)</f>
        <v>4777.6000000000004</v>
      </c>
      <c r="J1242" s="17">
        <v>15</v>
      </c>
      <c r="K1242" s="18"/>
      <c r="L1242" s="18"/>
      <c r="M1242" s="20"/>
      <c r="N1242" s="37">
        <f>I1242*M1242</f>
        <v>0</v>
      </c>
      <c r="O1242" s="21">
        <v>5.45</v>
      </c>
      <c r="P1242" s="22">
        <v>1.2900999999999999E-2</v>
      </c>
    </row>
    <row r="1243" spans="1:16" s="8" customFormat="1" ht="15.95" customHeight="1" outlineLevel="3" x14ac:dyDescent="0.25">
      <c r="A1243" s="9"/>
      <c r="B1243" s="10"/>
      <c r="C1243" s="10"/>
      <c r="D1243" s="10" t="s">
        <v>2389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</row>
    <row r="1244" spans="1:16" s="1" customFormat="1" ht="119.1" customHeight="1" outlineLevel="4" x14ac:dyDescent="0.2">
      <c r="A1244" s="11">
        <v>216842</v>
      </c>
      <c r="B1244" s="12" t="s">
        <v>2390</v>
      </c>
      <c r="C1244" s="12" t="s">
        <v>50</v>
      </c>
      <c r="D1244" s="13"/>
      <c r="E1244" s="14" t="s">
        <v>2391</v>
      </c>
      <c r="F1244" s="15" t="s">
        <v>24</v>
      </c>
      <c r="G1244" s="16"/>
      <c r="H1244" s="36">
        <v>260.8</v>
      </c>
      <c r="I1244" s="36">
        <f>ROUND(H1244-(H1244*I2/100),2)</f>
        <v>260.8</v>
      </c>
      <c r="J1244" s="17">
        <v>44</v>
      </c>
      <c r="K1244" s="18"/>
      <c r="L1244" s="18"/>
      <c r="M1244" s="20"/>
      <c r="N1244" s="37">
        <f t="shared" ref="N1244:N1249" si="57">I1244*M1244</f>
        <v>0</v>
      </c>
      <c r="O1244" s="21">
        <v>0.23499999999999999</v>
      </c>
      <c r="P1244" s="22">
        <v>5.9900000000000003E-4</v>
      </c>
    </row>
    <row r="1245" spans="1:16" s="1" customFormat="1" ht="119.1" customHeight="1" outlineLevel="4" x14ac:dyDescent="0.2">
      <c r="A1245" s="11">
        <v>216843</v>
      </c>
      <c r="B1245" s="12" t="s">
        <v>2392</v>
      </c>
      <c r="C1245" s="12" t="s">
        <v>50</v>
      </c>
      <c r="D1245" s="13"/>
      <c r="E1245" s="14" t="s">
        <v>2393</v>
      </c>
      <c r="F1245" s="15" t="s">
        <v>24</v>
      </c>
      <c r="G1245" s="16"/>
      <c r="H1245" s="36">
        <v>481.9</v>
      </c>
      <c r="I1245" s="36">
        <f>ROUND(H1245-(H1245*I2/100),2)</f>
        <v>481.9</v>
      </c>
      <c r="J1245" s="17">
        <v>8</v>
      </c>
      <c r="K1245" s="18"/>
      <c r="L1245" s="18"/>
      <c r="M1245" s="20"/>
      <c r="N1245" s="37">
        <f t="shared" si="57"/>
        <v>0</v>
      </c>
      <c r="O1245" s="21">
        <v>0.54</v>
      </c>
      <c r="P1245" s="22">
        <v>1.0349999999999999E-3</v>
      </c>
    </row>
    <row r="1246" spans="1:16" s="1" customFormat="1" ht="119.1" customHeight="1" outlineLevel="4" x14ac:dyDescent="0.2">
      <c r="A1246" s="11">
        <v>183285</v>
      </c>
      <c r="B1246" s="12" t="s">
        <v>2394</v>
      </c>
      <c r="C1246" s="12" t="s">
        <v>22</v>
      </c>
      <c r="D1246" s="13"/>
      <c r="E1246" s="14" t="s">
        <v>2395</v>
      </c>
      <c r="F1246" s="15" t="s">
        <v>24</v>
      </c>
      <c r="G1246" s="16"/>
      <c r="H1246" s="36">
        <v>404.4</v>
      </c>
      <c r="I1246" s="36">
        <f>ROUND(H1246-(H1246*I2/100),2)</f>
        <v>404.4</v>
      </c>
      <c r="J1246" s="17">
        <v>23</v>
      </c>
      <c r="K1246" s="18"/>
      <c r="L1246" s="18"/>
      <c r="M1246" s="20"/>
      <c r="N1246" s="37">
        <f t="shared" si="57"/>
        <v>0</v>
      </c>
      <c r="O1246" s="21">
        <v>0.35</v>
      </c>
      <c r="P1246" s="22">
        <v>9.2000000000000003E-4</v>
      </c>
    </row>
    <row r="1247" spans="1:16" s="1" customFormat="1" ht="119.1" customHeight="1" outlineLevel="4" x14ac:dyDescent="0.2">
      <c r="A1247" s="11">
        <v>196289</v>
      </c>
      <c r="B1247" s="12" t="s">
        <v>2396</v>
      </c>
      <c r="C1247" s="12" t="s">
        <v>50</v>
      </c>
      <c r="D1247" s="13"/>
      <c r="E1247" s="14" t="s">
        <v>2397</v>
      </c>
      <c r="F1247" s="15" t="s">
        <v>24</v>
      </c>
      <c r="G1247" s="16"/>
      <c r="H1247" s="36">
        <v>340.4</v>
      </c>
      <c r="I1247" s="36">
        <f>ROUND(H1247-(H1247*I2/100),2)</f>
        <v>340.4</v>
      </c>
      <c r="J1247" s="17">
        <v>174</v>
      </c>
      <c r="K1247" s="18"/>
      <c r="L1247" s="18"/>
      <c r="M1247" s="20"/>
      <c r="N1247" s="37">
        <f t="shared" si="57"/>
        <v>0</v>
      </c>
      <c r="O1247" s="21">
        <v>0.313</v>
      </c>
      <c r="P1247" s="22">
        <v>6.6E-4</v>
      </c>
    </row>
    <row r="1248" spans="1:16" s="1" customFormat="1" ht="119.1" customHeight="1" outlineLevel="4" x14ac:dyDescent="0.2">
      <c r="A1248" s="11">
        <v>183286</v>
      </c>
      <c r="B1248" s="12" t="s">
        <v>2398</v>
      </c>
      <c r="C1248" s="12" t="s">
        <v>22</v>
      </c>
      <c r="D1248" s="28"/>
      <c r="E1248" s="29" t="s">
        <v>2399</v>
      </c>
      <c r="F1248" s="30" t="s">
        <v>24</v>
      </c>
      <c r="G1248" s="31" t="s">
        <v>209</v>
      </c>
      <c r="H1248" s="36">
        <v>477.4</v>
      </c>
      <c r="I1248" s="36">
        <f>ROUND(H1248-(H1248*I2/100),2)</f>
        <v>477.4</v>
      </c>
      <c r="J1248" s="17">
        <v>318</v>
      </c>
      <c r="K1248" s="18"/>
      <c r="L1248" s="18"/>
      <c r="M1248" s="20"/>
      <c r="N1248" s="37">
        <f t="shared" si="57"/>
        <v>0</v>
      </c>
      <c r="O1248" s="21">
        <v>0.56299999999999994</v>
      </c>
      <c r="P1248" s="22">
        <v>9.1200000000000005E-4</v>
      </c>
    </row>
    <row r="1249" spans="1:16" s="1" customFormat="1" ht="119.1" customHeight="1" outlineLevel="4" x14ac:dyDescent="0.2">
      <c r="A1249" s="11">
        <v>196148</v>
      </c>
      <c r="B1249" s="12" t="s">
        <v>2400</v>
      </c>
      <c r="C1249" s="12" t="s">
        <v>50</v>
      </c>
      <c r="D1249" s="13"/>
      <c r="E1249" s="14" t="s">
        <v>2401</v>
      </c>
      <c r="F1249" s="15" t="s">
        <v>24</v>
      </c>
      <c r="G1249" s="16"/>
      <c r="H1249" s="36">
        <v>435.3</v>
      </c>
      <c r="I1249" s="36">
        <f>ROUND(H1249-(H1249*I2/100),2)</f>
        <v>435.3</v>
      </c>
      <c r="J1249" s="17">
        <v>98</v>
      </c>
      <c r="K1249" s="18"/>
      <c r="L1249" s="18"/>
      <c r="M1249" s="20"/>
      <c r="N1249" s="37">
        <f t="shared" si="57"/>
        <v>0</v>
      </c>
      <c r="O1249" s="21">
        <v>0.4</v>
      </c>
      <c r="P1249" s="22">
        <v>1.0200000000000001E-3</v>
      </c>
    </row>
    <row r="1250" spans="1:16" s="8" customFormat="1" ht="15.95" customHeight="1" outlineLevel="3" x14ac:dyDescent="0.25">
      <c r="A1250" s="9"/>
      <c r="B1250" s="10"/>
      <c r="C1250" s="10"/>
      <c r="D1250" s="10" t="s">
        <v>2402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</row>
    <row r="1251" spans="1:16" s="1" customFormat="1" ht="119.1" customHeight="1" outlineLevel="4" x14ac:dyDescent="0.2">
      <c r="A1251" s="11">
        <v>216169</v>
      </c>
      <c r="B1251" s="12" t="s">
        <v>2403</v>
      </c>
      <c r="C1251" s="12" t="s">
        <v>22</v>
      </c>
      <c r="D1251" s="13"/>
      <c r="E1251" s="14" t="s">
        <v>2404</v>
      </c>
      <c r="F1251" s="15" t="s">
        <v>160</v>
      </c>
      <c r="G1251" s="16"/>
      <c r="H1251" s="36">
        <v>678.5</v>
      </c>
      <c r="I1251" s="36">
        <f>ROUND(H1251-(H1251*I2/100),2)</f>
        <v>678.5</v>
      </c>
      <c r="J1251" s="17">
        <v>230</v>
      </c>
      <c r="K1251" s="18"/>
      <c r="L1251" s="18"/>
      <c r="M1251" s="20"/>
      <c r="N1251" s="37">
        <f>I1251*M1251</f>
        <v>0</v>
      </c>
      <c r="O1251" s="21">
        <v>0.2</v>
      </c>
      <c r="P1251" s="22">
        <v>1E-3</v>
      </c>
    </row>
    <row r="1252" spans="1:16" s="1" customFormat="1" ht="119.1" customHeight="1" outlineLevel="4" x14ac:dyDescent="0.2">
      <c r="A1252" s="11">
        <v>210075</v>
      </c>
      <c r="B1252" s="12" t="s">
        <v>2405</v>
      </c>
      <c r="C1252" s="12" t="s">
        <v>22</v>
      </c>
      <c r="D1252" s="13"/>
      <c r="E1252" s="14" t="s">
        <v>2406</v>
      </c>
      <c r="F1252" s="15" t="s">
        <v>24</v>
      </c>
      <c r="G1252" s="16"/>
      <c r="H1252" s="36">
        <v>1191.5</v>
      </c>
      <c r="I1252" s="36">
        <f>ROUND(H1252-(H1252*I2/100),2)</f>
        <v>1191.5</v>
      </c>
      <c r="J1252" s="17">
        <v>703</v>
      </c>
      <c r="K1252" s="18"/>
      <c r="L1252" s="18"/>
      <c r="M1252" s="20"/>
      <c r="N1252" s="37">
        <f>I1252*M1252</f>
        <v>0</v>
      </c>
      <c r="O1252" s="21">
        <v>0.219</v>
      </c>
      <c r="P1252" s="22">
        <v>1.2899999999999999E-3</v>
      </c>
    </row>
    <row r="1253" spans="1:16" s="1" customFormat="1" ht="119.1" customHeight="1" outlineLevel="4" x14ac:dyDescent="0.2">
      <c r="A1253" s="11">
        <v>216170</v>
      </c>
      <c r="B1253" s="12" t="s">
        <v>2407</v>
      </c>
      <c r="C1253" s="12" t="s">
        <v>22</v>
      </c>
      <c r="D1253" s="13"/>
      <c r="E1253" s="14" t="s">
        <v>2408</v>
      </c>
      <c r="F1253" s="15" t="s">
        <v>160</v>
      </c>
      <c r="G1253" s="16"/>
      <c r="H1253" s="36">
        <v>1002.5</v>
      </c>
      <c r="I1253" s="36">
        <f>ROUND(H1253-(H1253*I2/100),2)</f>
        <v>1002.5</v>
      </c>
      <c r="J1253" s="17">
        <v>279</v>
      </c>
      <c r="K1253" s="18"/>
      <c r="L1253" s="18"/>
      <c r="M1253" s="20"/>
      <c r="N1253" s="37">
        <f>I1253*M1253</f>
        <v>0</v>
      </c>
      <c r="O1253" s="21">
        <v>0.3</v>
      </c>
      <c r="P1253" s="22">
        <v>1E-3</v>
      </c>
    </row>
    <row r="1254" spans="1:16" s="1" customFormat="1" ht="119.1" customHeight="1" outlineLevel="4" x14ac:dyDescent="0.2">
      <c r="A1254" s="11">
        <v>182892</v>
      </c>
      <c r="B1254" s="12" t="s">
        <v>2409</v>
      </c>
      <c r="C1254" s="12" t="s">
        <v>22</v>
      </c>
      <c r="D1254" s="23"/>
      <c r="E1254" s="24" t="s">
        <v>2410</v>
      </c>
      <c r="F1254" s="25" t="s">
        <v>160</v>
      </c>
      <c r="G1254" s="26" t="s">
        <v>39</v>
      </c>
      <c r="H1254" s="36">
        <v>290.33999999999997</v>
      </c>
      <c r="I1254" s="36">
        <f>H1254</f>
        <v>290.33999999999997</v>
      </c>
      <c r="J1254" s="27">
        <v>1645</v>
      </c>
      <c r="K1254" s="18"/>
      <c r="L1254" s="18"/>
      <c r="M1254" s="20"/>
      <c r="N1254" s="37">
        <f>I1254*M1254</f>
        <v>0</v>
      </c>
      <c r="O1254" s="21">
        <v>0.24299999999999999</v>
      </c>
      <c r="P1254" s="22">
        <v>5.1900000000000004E-4</v>
      </c>
    </row>
    <row r="1255" spans="1:16" s="1" customFormat="1" ht="119.1" customHeight="1" outlineLevel="4" x14ac:dyDescent="0.2">
      <c r="A1255" s="11">
        <v>182893</v>
      </c>
      <c r="B1255" s="12" t="s">
        <v>2411</v>
      </c>
      <c r="C1255" s="12" t="s">
        <v>22</v>
      </c>
      <c r="D1255" s="13"/>
      <c r="E1255" s="14" t="s">
        <v>2412</v>
      </c>
      <c r="F1255" s="15" t="s">
        <v>160</v>
      </c>
      <c r="G1255" s="16"/>
      <c r="H1255" s="36">
        <v>596.79999999999995</v>
      </c>
      <c r="I1255" s="36">
        <f>ROUND(H1255-(H1255*I2/100),2)</f>
        <v>596.79999999999995</v>
      </c>
      <c r="J1255" s="27">
        <v>1725</v>
      </c>
      <c r="K1255" s="18"/>
      <c r="L1255" s="18"/>
      <c r="M1255" s="20"/>
      <c r="N1255" s="37">
        <f>I1255*M1255</f>
        <v>0</v>
      </c>
      <c r="O1255" s="21">
        <v>0.3</v>
      </c>
      <c r="P1255" s="22">
        <v>2.0000000000000001E-4</v>
      </c>
    </row>
    <row r="1256" spans="1:16" s="8" customFormat="1" ht="15.95" customHeight="1" outlineLevel="3" x14ac:dyDescent="0.25">
      <c r="A1256" s="9"/>
      <c r="B1256" s="10"/>
      <c r="C1256" s="10"/>
      <c r="D1256" s="10" t="s">
        <v>2413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</row>
    <row r="1257" spans="1:16" s="1" customFormat="1" ht="119.1" customHeight="1" outlineLevel="4" x14ac:dyDescent="0.2">
      <c r="A1257" s="11">
        <v>216894</v>
      </c>
      <c r="B1257" s="12" t="s">
        <v>2414</v>
      </c>
      <c r="C1257" s="12" t="s">
        <v>50</v>
      </c>
      <c r="D1257" s="13"/>
      <c r="E1257" s="14" t="s">
        <v>2415</v>
      </c>
      <c r="F1257" s="15" t="s">
        <v>24</v>
      </c>
      <c r="G1257" s="16"/>
      <c r="H1257" s="36">
        <v>853.4</v>
      </c>
      <c r="I1257" s="36">
        <f>ROUND(H1257-(H1257*I2/100),2)</f>
        <v>853.4</v>
      </c>
      <c r="J1257" s="17">
        <v>17</v>
      </c>
      <c r="K1257" s="18"/>
      <c r="L1257" s="18"/>
      <c r="M1257" s="20"/>
      <c r="N1257" s="37">
        <f t="shared" ref="N1257:N1263" si="58">I1257*M1257</f>
        <v>0</v>
      </c>
      <c r="O1257" s="21">
        <v>0.375</v>
      </c>
      <c r="P1257" s="22">
        <v>4.8899999999999996E-4</v>
      </c>
    </row>
    <row r="1258" spans="1:16" s="1" customFormat="1" ht="119.1" customHeight="1" outlineLevel="4" x14ac:dyDescent="0.2">
      <c r="A1258" s="11">
        <v>216892</v>
      </c>
      <c r="B1258" s="12" t="s">
        <v>2416</v>
      </c>
      <c r="C1258" s="12" t="s">
        <v>50</v>
      </c>
      <c r="D1258" s="13"/>
      <c r="E1258" s="14" t="s">
        <v>2417</v>
      </c>
      <c r="F1258" s="15" t="s">
        <v>24</v>
      </c>
      <c r="G1258" s="16"/>
      <c r="H1258" s="36">
        <v>186.7</v>
      </c>
      <c r="I1258" s="36">
        <f>ROUND(H1258-(H1258*I2/100),2)</f>
        <v>186.7</v>
      </c>
      <c r="J1258" s="17">
        <v>48</v>
      </c>
      <c r="K1258" s="18"/>
      <c r="L1258" s="18"/>
      <c r="M1258" s="20"/>
      <c r="N1258" s="37">
        <f t="shared" si="58"/>
        <v>0</v>
      </c>
      <c r="O1258" s="21">
        <v>0.313</v>
      </c>
      <c r="P1258" s="22">
        <v>2.5000000000000001E-4</v>
      </c>
    </row>
    <row r="1259" spans="1:16" s="1" customFormat="1" ht="119.1" customHeight="1" outlineLevel="4" x14ac:dyDescent="0.2">
      <c r="A1259" s="11">
        <v>216893</v>
      </c>
      <c r="B1259" s="12" t="s">
        <v>2418</v>
      </c>
      <c r="C1259" s="12" t="s">
        <v>50</v>
      </c>
      <c r="D1259" s="13"/>
      <c r="E1259" s="14" t="s">
        <v>2419</v>
      </c>
      <c r="F1259" s="15" t="s">
        <v>24</v>
      </c>
      <c r="G1259" s="16"/>
      <c r="H1259" s="36">
        <v>216.4</v>
      </c>
      <c r="I1259" s="36">
        <f>ROUND(H1259-(H1259*I2/100),2)</f>
        <v>216.4</v>
      </c>
      <c r="J1259" s="17">
        <v>70</v>
      </c>
      <c r="K1259" s="18"/>
      <c r="L1259" s="18"/>
      <c r="M1259" s="20"/>
      <c r="N1259" s="37">
        <f t="shared" si="58"/>
        <v>0</v>
      </c>
      <c r="O1259" s="21">
        <v>0.33300000000000002</v>
      </c>
      <c r="P1259" s="22">
        <v>3.7399999999999998E-4</v>
      </c>
    </row>
    <row r="1260" spans="1:16" s="1" customFormat="1" ht="119.1" customHeight="1" outlineLevel="4" x14ac:dyDescent="0.2">
      <c r="A1260" s="11">
        <v>216895</v>
      </c>
      <c r="B1260" s="12" t="s">
        <v>2420</v>
      </c>
      <c r="C1260" s="12" t="s">
        <v>50</v>
      </c>
      <c r="D1260" s="13"/>
      <c r="E1260" s="14" t="s">
        <v>2421</v>
      </c>
      <c r="F1260" s="15" t="s">
        <v>24</v>
      </c>
      <c r="G1260" s="16"/>
      <c r="H1260" s="36">
        <v>317.8</v>
      </c>
      <c r="I1260" s="36">
        <f>ROUND(H1260-(H1260*I2/100),2)</f>
        <v>317.8</v>
      </c>
      <c r="J1260" s="17">
        <v>56</v>
      </c>
      <c r="K1260" s="18"/>
      <c r="L1260" s="18"/>
      <c r="M1260" s="20"/>
      <c r="N1260" s="37">
        <f t="shared" si="58"/>
        <v>0</v>
      </c>
      <c r="O1260" s="21">
        <v>0.56699999999999995</v>
      </c>
      <c r="P1260" s="22">
        <v>4.6200000000000001E-4</v>
      </c>
    </row>
    <row r="1261" spans="1:16" s="1" customFormat="1" ht="119.1" customHeight="1" outlineLevel="4" x14ac:dyDescent="0.2">
      <c r="A1261" s="11">
        <v>216896</v>
      </c>
      <c r="B1261" s="12" t="s">
        <v>2422</v>
      </c>
      <c r="C1261" s="12" t="s">
        <v>50</v>
      </c>
      <c r="D1261" s="13"/>
      <c r="E1261" s="14" t="s">
        <v>2423</v>
      </c>
      <c r="F1261" s="15" t="s">
        <v>24</v>
      </c>
      <c r="G1261" s="16"/>
      <c r="H1261" s="36">
        <v>351.7</v>
      </c>
      <c r="I1261" s="36">
        <f>ROUND(H1261-(H1261*I2/100),2)</f>
        <v>351.7</v>
      </c>
      <c r="J1261" s="17">
        <v>35</v>
      </c>
      <c r="K1261" s="18"/>
      <c r="L1261" s="18"/>
      <c r="M1261" s="20"/>
      <c r="N1261" s="37">
        <f t="shared" si="58"/>
        <v>0</v>
      </c>
      <c r="O1261" s="21">
        <v>0.63300000000000001</v>
      </c>
      <c r="P1261" s="22">
        <v>1.444E-3</v>
      </c>
    </row>
    <row r="1262" spans="1:16" s="1" customFormat="1" ht="119.1" customHeight="1" outlineLevel="4" x14ac:dyDescent="0.2">
      <c r="A1262" s="11">
        <v>216897</v>
      </c>
      <c r="B1262" s="12" t="s">
        <v>2424</v>
      </c>
      <c r="C1262" s="12" t="s">
        <v>50</v>
      </c>
      <c r="D1262" s="28"/>
      <c r="E1262" s="29" t="s">
        <v>2425</v>
      </c>
      <c r="F1262" s="30" t="s">
        <v>24</v>
      </c>
      <c r="G1262" s="31" t="s">
        <v>209</v>
      </c>
      <c r="H1262" s="36">
        <v>564</v>
      </c>
      <c r="I1262" s="36">
        <f>ROUND(H1262-(H1262*I2/100),2)</f>
        <v>564</v>
      </c>
      <c r="J1262" s="17">
        <v>23</v>
      </c>
      <c r="K1262" s="18"/>
      <c r="L1262" s="18"/>
      <c r="M1262" s="20"/>
      <c r="N1262" s="37">
        <f t="shared" si="58"/>
        <v>0</v>
      </c>
      <c r="O1262" s="21">
        <v>1.111</v>
      </c>
      <c r="P1262" s="22">
        <v>9.3999999999999997E-4</v>
      </c>
    </row>
    <row r="1263" spans="1:16" s="1" customFormat="1" ht="119.1" customHeight="1" outlineLevel="4" x14ac:dyDescent="0.2">
      <c r="A1263" s="11">
        <v>216898</v>
      </c>
      <c r="B1263" s="12" t="s">
        <v>2426</v>
      </c>
      <c r="C1263" s="12" t="s">
        <v>50</v>
      </c>
      <c r="D1263" s="13"/>
      <c r="E1263" s="14" t="s">
        <v>2427</v>
      </c>
      <c r="F1263" s="15" t="s">
        <v>24</v>
      </c>
      <c r="G1263" s="16"/>
      <c r="H1263" s="36">
        <v>627.6</v>
      </c>
      <c r="I1263" s="36">
        <f>ROUND(H1263-(H1263*I2/100),2)</f>
        <v>627.6</v>
      </c>
      <c r="J1263" s="17">
        <v>31</v>
      </c>
      <c r="K1263" s="18"/>
      <c r="L1263" s="18"/>
      <c r="M1263" s="20"/>
      <c r="N1263" s="37">
        <f t="shared" si="58"/>
        <v>0</v>
      </c>
      <c r="O1263" s="21">
        <v>1.1000000000000001</v>
      </c>
      <c r="P1263" s="22">
        <v>1.0200000000000001E-3</v>
      </c>
    </row>
    <row r="1264" spans="1:16" s="8" customFormat="1" ht="15.95" customHeight="1" outlineLevel="3" x14ac:dyDescent="0.25">
      <c r="A1264" s="9"/>
      <c r="B1264" s="10"/>
      <c r="C1264" s="10"/>
      <c r="D1264" s="10" t="s">
        <v>2428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</row>
    <row r="1265" spans="1:16" s="1" customFormat="1" ht="119.1" customHeight="1" outlineLevel="4" x14ac:dyDescent="0.2">
      <c r="A1265" s="11">
        <v>215013</v>
      </c>
      <c r="B1265" s="12" t="s">
        <v>2429</v>
      </c>
      <c r="C1265" s="12" t="s">
        <v>22</v>
      </c>
      <c r="D1265" s="13"/>
      <c r="E1265" s="14" t="s">
        <v>2430</v>
      </c>
      <c r="F1265" s="15" t="s">
        <v>113</v>
      </c>
      <c r="G1265" s="16"/>
      <c r="H1265" s="36">
        <v>1882.1</v>
      </c>
      <c r="I1265" s="36">
        <f>ROUND(H1265-(H1265*I2/100),2)</f>
        <v>1882.1</v>
      </c>
      <c r="J1265" s="17">
        <v>253</v>
      </c>
      <c r="K1265" s="18"/>
      <c r="L1265" s="18"/>
      <c r="M1265" s="20"/>
      <c r="N1265" s="37">
        <f>I1265*M1265</f>
        <v>0</v>
      </c>
      <c r="O1265" s="21">
        <v>5</v>
      </c>
      <c r="P1265" s="22">
        <v>1E-3</v>
      </c>
    </row>
    <row r="1266" spans="1:16" s="8" customFormat="1" ht="15.95" customHeight="1" outlineLevel="2" x14ac:dyDescent="0.25">
      <c r="A1266" s="9"/>
      <c r="B1266" s="10"/>
      <c r="C1266" s="10"/>
      <c r="D1266" s="10" t="s">
        <v>2431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</row>
    <row r="1267" spans="1:16" s="1" customFormat="1" ht="119.1" customHeight="1" outlineLevel="3" x14ac:dyDescent="0.2">
      <c r="A1267" s="11">
        <v>215005</v>
      </c>
      <c r="B1267" s="12" t="s">
        <v>2432</v>
      </c>
      <c r="C1267" s="12" t="s">
        <v>22</v>
      </c>
      <c r="D1267" s="23"/>
      <c r="E1267" s="24" t="s">
        <v>2433</v>
      </c>
      <c r="F1267" s="25" t="s">
        <v>24</v>
      </c>
      <c r="G1267" s="26" t="s">
        <v>39</v>
      </c>
      <c r="H1267" s="36">
        <v>10647.9</v>
      </c>
      <c r="I1267" s="36">
        <f>H1267</f>
        <v>10647.9</v>
      </c>
      <c r="J1267" s="17">
        <v>10</v>
      </c>
      <c r="K1267" s="18"/>
      <c r="L1267" s="18"/>
      <c r="M1267" s="20"/>
      <c r="N1267" s="37">
        <f>I1267*M1267</f>
        <v>0</v>
      </c>
      <c r="O1267" s="21">
        <v>1.5</v>
      </c>
      <c r="P1267" s="22">
        <v>1E-3</v>
      </c>
    </row>
    <row r="1268" spans="1:16" s="1" customFormat="1" ht="119.1" customHeight="1" outlineLevel="3" x14ac:dyDescent="0.2">
      <c r="A1268" s="11">
        <v>184348</v>
      </c>
      <c r="B1268" s="12" t="s">
        <v>2434</v>
      </c>
      <c r="C1268" s="12" t="s">
        <v>22</v>
      </c>
      <c r="D1268" s="13"/>
      <c r="E1268" s="14" t="s">
        <v>2435</v>
      </c>
      <c r="F1268" s="15" t="s">
        <v>24</v>
      </c>
      <c r="G1268" s="16"/>
      <c r="H1268" s="36">
        <v>11854.9</v>
      </c>
      <c r="I1268" s="36">
        <f>ROUND(H1268-(H1268*I2/100),2)</f>
        <v>11854.9</v>
      </c>
      <c r="J1268" s="17">
        <v>2</v>
      </c>
      <c r="K1268" s="18"/>
      <c r="L1268" s="18"/>
      <c r="M1268" s="20"/>
      <c r="N1268" s="37">
        <f>I1268*M1268</f>
        <v>0</v>
      </c>
      <c r="O1268" s="21">
        <v>2.75</v>
      </c>
      <c r="P1268" s="22">
        <v>7.7739999999999997E-3</v>
      </c>
    </row>
    <row r="1269" spans="1:16" s="1" customFormat="1" ht="119.1" customHeight="1" outlineLevel="3" x14ac:dyDescent="0.2">
      <c r="A1269" s="11">
        <v>199798</v>
      </c>
      <c r="B1269" s="12" t="s">
        <v>2436</v>
      </c>
      <c r="C1269" s="12" t="s">
        <v>22</v>
      </c>
      <c r="D1269" s="13"/>
      <c r="E1269" s="14" t="s">
        <v>2437</v>
      </c>
      <c r="F1269" s="15" t="s">
        <v>24</v>
      </c>
      <c r="G1269" s="16"/>
      <c r="H1269" s="36">
        <v>10921.3</v>
      </c>
      <c r="I1269" s="36">
        <f>ROUND(H1269-(H1269*I2/100),2)</f>
        <v>10921.3</v>
      </c>
      <c r="J1269" s="17">
        <v>5</v>
      </c>
      <c r="K1269" s="18"/>
      <c r="L1269" s="18"/>
      <c r="M1269" s="20"/>
      <c r="N1269" s="37">
        <f>I1269*M1269</f>
        <v>0</v>
      </c>
      <c r="O1269" s="21">
        <v>2.8</v>
      </c>
      <c r="P1269" s="22">
        <v>9.4380000000000002E-3</v>
      </c>
    </row>
    <row r="1270" spans="1:16" s="1" customFormat="1" ht="119.1" customHeight="1" outlineLevel="3" x14ac:dyDescent="0.2">
      <c r="A1270" s="11">
        <v>190210</v>
      </c>
      <c r="B1270" s="12" t="s">
        <v>2438</v>
      </c>
      <c r="C1270" s="12" t="s">
        <v>22</v>
      </c>
      <c r="D1270" s="23"/>
      <c r="E1270" s="24" t="s">
        <v>2439</v>
      </c>
      <c r="F1270" s="25" t="s">
        <v>24</v>
      </c>
      <c r="G1270" s="26" t="s">
        <v>39</v>
      </c>
      <c r="H1270" s="36">
        <v>13851.9</v>
      </c>
      <c r="I1270" s="36">
        <f>H1270</f>
        <v>13851.9</v>
      </c>
      <c r="J1270" s="17">
        <v>8</v>
      </c>
      <c r="K1270" s="18"/>
      <c r="L1270" s="18"/>
      <c r="M1270" s="20"/>
      <c r="N1270" s="37">
        <f>I1270*M1270</f>
        <v>0</v>
      </c>
      <c r="O1270" s="21">
        <v>1</v>
      </c>
      <c r="P1270" s="22">
        <v>1E-3</v>
      </c>
    </row>
    <row r="1271" spans="1:16" s="1" customFormat="1" ht="119.1" customHeight="1" outlineLevel="3" x14ac:dyDescent="0.2">
      <c r="A1271" s="11">
        <v>199797</v>
      </c>
      <c r="B1271" s="12" t="s">
        <v>2440</v>
      </c>
      <c r="C1271" s="12" t="s">
        <v>22</v>
      </c>
      <c r="D1271" s="13"/>
      <c r="E1271" s="14" t="s">
        <v>2441</v>
      </c>
      <c r="F1271" s="15" t="s">
        <v>24</v>
      </c>
      <c r="G1271" s="16"/>
      <c r="H1271" s="36">
        <v>8695.7000000000007</v>
      </c>
      <c r="I1271" s="36">
        <f>ROUND(H1271-(H1271*I2/100),2)</f>
        <v>8695.7000000000007</v>
      </c>
      <c r="J1271" s="17">
        <v>4</v>
      </c>
      <c r="K1271" s="18"/>
      <c r="L1271" s="18"/>
      <c r="M1271" s="20"/>
      <c r="N1271" s="37">
        <f>I1271*M1271</f>
        <v>0</v>
      </c>
      <c r="O1271" s="21">
        <v>1</v>
      </c>
      <c r="P1271" s="22">
        <v>2.7720000000000002E-3</v>
      </c>
    </row>
    <row r="1272" spans="1:16" s="8" customFormat="1" ht="15.95" customHeight="1" outlineLevel="2" x14ac:dyDescent="0.25">
      <c r="A1272" s="9"/>
      <c r="B1272" s="10"/>
      <c r="C1272" s="10"/>
      <c r="D1272" s="10" t="s">
        <v>2442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</row>
    <row r="1273" spans="1:16" s="1" customFormat="1" ht="119.1" customHeight="1" outlineLevel="3" x14ac:dyDescent="0.2">
      <c r="A1273" s="11">
        <v>216999</v>
      </c>
      <c r="B1273" s="12" t="s">
        <v>2443</v>
      </c>
      <c r="C1273" s="12" t="s">
        <v>50</v>
      </c>
      <c r="D1273" s="13"/>
      <c r="E1273" s="14" t="s">
        <v>2444</v>
      </c>
      <c r="F1273" s="15" t="s">
        <v>24</v>
      </c>
      <c r="G1273" s="16"/>
      <c r="H1273" s="36">
        <v>4065.6</v>
      </c>
      <c r="I1273" s="36">
        <f>ROUND(H1273-(H1273*I2/100),2)</f>
        <v>4065.6</v>
      </c>
      <c r="J1273" s="17">
        <v>8</v>
      </c>
      <c r="K1273" s="18"/>
      <c r="L1273" s="18"/>
      <c r="M1273" s="20"/>
      <c r="N1273" s="37">
        <f>I1273*M1273</f>
        <v>0</v>
      </c>
      <c r="O1273" s="21">
        <v>5.37</v>
      </c>
      <c r="P1273" s="22">
        <v>1.9175999999999999E-2</v>
      </c>
    </row>
    <row r="1274" spans="1:16" s="8" customFormat="1" ht="15.95" customHeight="1" outlineLevel="2" x14ac:dyDescent="0.25">
      <c r="A1274" s="9"/>
      <c r="B1274" s="10"/>
      <c r="C1274" s="10"/>
      <c r="D1274" s="10" t="s">
        <v>2445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</row>
    <row r="1275" spans="1:16" s="1" customFormat="1" ht="119.1" customHeight="1" outlineLevel="3" x14ac:dyDescent="0.2">
      <c r="A1275" s="11">
        <v>206791</v>
      </c>
      <c r="B1275" s="12" t="s">
        <v>2446</v>
      </c>
      <c r="C1275" s="12" t="s">
        <v>22</v>
      </c>
      <c r="D1275" s="13"/>
      <c r="E1275" s="14" t="s">
        <v>2447</v>
      </c>
      <c r="F1275" s="15" t="s">
        <v>24</v>
      </c>
      <c r="G1275" s="16"/>
      <c r="H1275" s="36">
        <v>2882.9</v>
      </c>
      <c r="I1275" s="36">
        <f>ROUND(H1275-(H1275*I2/100),2)</f>
        <v>2882.9</v>
      </c>
      <c r="J1275" s="17">
        <v>2</v>
      </c>
      <c r="K1275" s="18"/>
      <c r="L1275" s="18"/>
      <c r="M1275" s="20"/>
      <c r="N1275" s="37">
        <f t="shared" ref="N1275:N1296" si="59">I1275*M1275</f>
        <v>0</v>
      </c>
      <c r="O1275" s="21">
        <v>0.7</v>
      </c>
      <c r="P1275" s="22">
        <v>1E-3</v>
      </c>
    </row>
    <row r="1276" spans="1:16" s="1" customFormat="1" ht="119.1" customHeight="1" outlineLevel="3" x14ac:dyDescent="0.2">
      <c r="A1276" s="11">
        <v>212256</v>
      </c>
      <c r="B1276" s="12" t="s">
        <v>2448</v>
      </c>
      <c r="C1276" s="12" t="s">
        <v>50</v>
      </c>
      <c r="D1276" s="13"/>
      <c r="E1276" s="14" t="s">
        <v>2449</v>
      </c>
      <c r="F1276" s="15" t="s">
        <v>24</v>
      </c>
      <c r="G1276" s="16"/>
      <c r="H1276" s="36">
        <v>941.4</v>
      </c>
      <c r="I1276" s="36">
        <f>ROUND(H1276-(H1276*I2/100),2)</f>
        <v>941.4</v>
      </c>
      <c r="J1276" s="17">
        <v>55</v>
      </c>
      <c r="K1276" s="18"/>
      <c r="L1276" s="18"/>
      <c r="M1276" s="20"/>
      <c r="N1276" s="37">
        <f t="shared" si="59"/>
        <v>0</v>
      </c>
      <c r="O1276" s="21">
        <v>0.33300000000000002</v>
      </c>
      <c r="P1276" s="22">
        <v>2E-3</v>
      </c>
    </row>
    <row r="1277" spans="1:16" s="1" customFormat="1" ht="119.1" customHeight="1" outlineLevel="3" x14ac:dyDescent="0.2">
      <c r="A1277" s="11">
        <v>195739</v>
      </c>
      <c r="B1277" s="12" t="s">
        <v>2450</v>
      </c>
      <c r="C1277" s="12" t="s">
        <v>22</v>
      </c>
      <c r="D1277" s="13"/>
      <c r="E1277" s="14" t="s">
        <v>2451</v>
      </c>
      <c r="F1277" s="15" t="s">
        <v>24</v>
      </c>
      <c r="G1277" s="16"/>
      <c r="H1277" s="36">
        <v>7818.4</v>
      </c>
      <c r="I1277" s="36">
        <f>ROUND(H1277-(H1277*I2/100),2)</f>
        <v>7818.4</v>
      </c>
      <c r="J1277" s="17">
        <v>5</v>
      </c>
      <c r="K1277" s="18"/>
      <c r="L1277" s="18"/>
      <c r="M1277" s="20"/>
      <c r="N1277" s="37">
        <f t="shared" si="59"/>
        <v>0</v>
      </c>
      <c r="O1277" s="21">
        <v>5</v>
      </c>
      <c r="P1277" s="22">
        <v>1.248E-2</v>
      </c>
    </row>
    <row r="1278" spans="1:16" s="1" customFormat="1" ht="119.1" customHeight="1" outlineLevel="3" x14ac:dyDescent="0.2">
      <c r="A1278" s="11">
        <v>174043</v>
      </c>
      <c r="B1278" s="12" t="s">
        <v>2452</v>
      </c>
      <c r="C1278" s="12" t="s">
        <v>22</v>
      </c>
      <c r="D1278" s="13"/>
      <c r="E1278" s="14" t="s">
        <v>2453</v>
      </c>
      <c r="F1278" s="15" t="s">
        <v>24</v>
      </c>
      <c r="G1278" s="16"/>
      <c r="H1278" s="36">
        <v>3504.3</v>
      </c>
      <c r="I1278" s="36">
        <f>ROUND(H1278-(H1278*I2/100),2)</f>
        <v>3504.3</v>
      </c>
      <c r="J1278" s="17">
        <v>126</v>
      </c>
      <c r="K1278" s="18"/>
      <c r="L1278" s="18"/>
      <c r="M1278" s="20"/>
      <c r="N1278" s="37">
        <f t="shared" si="59"/>
        <v>0</v>
      </c>
      <c r="O1278" s="21">
        <v>1.9</v>
      </c>
      <c r="P1278" s="22">
        <v>4.4180000000000001E-3</v>
      </c>
    </row>
    <row r="1279" spans="1:16" s="1" customFormat="1" ht="119.1" customHeight="1" outlineLevel="3" x14ac:dyDescent="0.2">
      <c r="A1279" s="11">
        <v>210057</v>
      </c>
      <c r="B1279" s="12" t="s">
        <v>2454</v>
      </c>
      <c r="C1279" s="12" t="s">
        <v>22</v>
      </c>
      <c r="D1279" s="13"/>
      <c r="E1279" s="14" t="s">
        <v>2455</v>
      </c>
      <c r="F1279" s="15" t="s">
        <v>24</v>
      </c>
      <c r="G1279" s="16"/>
      <c r="H1279" s="36">
        <v>6676.5</v>
      </c>
      <c r="I1279" s="36">
        <f>ROUND(H1279-(H1279*I2/100),2)</f>
        <v>6676.5</v>
      </c>
      <c r="J1279" s="17">
        <v>28</v>
      </c>
      <c r="K1279" s="18"/>
      <c r="L1279" s="18"/>
      <c r="M1279" s="20"/>
      <c r="N1279" s="37">
        <f t="shared" si="59"/>
        <v>0</v>
      </c>
      <c r="O1279" s="21">
        <v>2.5169999999999999</v>
      </c>
      <c r="P1279" s="22">
        <v>7.3400000000000002E-3</v>
      </c>
    </row>
    <row r="1280" spans="1:16" s="1" customFormat="1" ht="119.1" customHeight="1" outlineLevel="3" x14ac:dyDescent="0.2">
      <c r="A1280" s="11">
        <v>197330</v>
      </c>
      <c r="B1280" s="12" t="s">
        <v>2456</v>
      </c>
      <c r="C1280" s="12" t="s">
        <v>50</v>
      </c>
      <c r="D1280" s="13"/>
      <c r="E1280" s="14" t="s">
        <v>2457</v>
      </c>
      <c r="F1280" s="15" t="s">
        <v>24</v>
      </c>
      <c r="G1280" s="16"/>
      <c r="H1280" s="36">
        <v>2179.8000000000002</v>
      </c>
      <c r="I1280" s="36">
        <f>ROUND(H1280-(H1280*I2/100),2)</f>
        <v>2179.8000000000002</v>
      </c>
      <c r="J1280" s="17">
        <v>3</v>
      </c>
      <c r="K1280" s="18"/>
      <c r="L1280" s="18"/>
      <c r="M1280" s="20"/>
      <c r="N1280" s="37">
        <f t="shared" si="59"/>
        <v>0</v>
      </c>
      <c r="O1280" s="21">
        <v>3</v>
      </c>
      <c r="P1280" s="22">
        <v>5.1980000000000004E-3</v>
      </c>
    </row>
    <row r="1281" spans="1:16" s="1" customFormat="1" ht="119.1" customHeight="1" outlineLevel="3" x14ac:dyDescent="0.2">
      <c r="A1281" s="11">
        <v>197663</v>
      </c>
      <c r="B1281" s="12" t="s">
        <v>2458</v>
      </c>
      <c r="C1281" s="12" t="s">
        <v>22</v>
      </c>
      <c r="D1281" s="13"/>
      <c r="E1281" s="14" t="s">
        <v>2459</v>
      </c>
      <c r="F1281" s="15" t="s">
        <v>24</v>
      </c>
      <c r="G1281" s="16"/>
      <c r="H1281" s="36">
        <v>5776.5</v>
      </c>
      <c r="I1281" s="36">
        <f>ROUND(H1281-(H1281*I2/100),2)</f>
        <v>5776.5</v>
      </c>
      <c r="J1281" s="17">
        <v>9</v>
      </c>
      <c r="K1281" s="18"/>
      <c r="L1281" s="18"/>
      <c r="M1281" s="20"/>
      <c r="N1281" s="37">
        <f t="shared" si="59"/>
        <v>0</v>
      </c>
      <c r="O1281" s="21">
        <v>1.1000000000000001</v>
      </c>
      <c r="P1281" s="22">
        <v>9.1800000000000007E-3</v>
      </c>
    </row>
    <row r="1282" spans="1:16" s="1" customFormat="1" ht="119.1" customHeight="1" outlineLevel="3" x14ac:dyDescent="0.2">
      <c r="A1282" s="11">
        <v>210058</v>
      </c>
      <c r="B1282" s="12" t="s">
        <v>2460</v>
      </c>
      <c r="C1282" s="12" t="s">
        <v>22</v>
      </c>
      <c r="D1282" s="13"/>
      <c r="E1282" s="14" t="s">
        <v>2461</v>
      </c>
      <c r="F1282" s="15" t="s">
        <v>24</v>
      </c>
      <c r="G1282" s="16"/>
      <c r="H1282" s="36">
        <v>3059</v>
      </c>
      <c r="I1282" s="36">
        <f>ROUND(H1282-(H1282*I2/100),2)</f>
        <v>3059</v>
      </c>
      <c r="J1282" s="17">
        <v>215</v>
      </c>
      <c r="K1282" s="18"/>
      <c r="L1282" s="18"/>
      <c r="M1282" s="20"/>
      <c r="N1282" s="37">
        <f t="shared" si="59"/>
        <v>0</v>
      </c>
      <c r="O1282" s="21">
        <v>2.5830000000000002</v>
      </c>
      <c r="P1282" s="22">
        <v>6.1799999999999997E-3</v>
      </c>
    </row>
    <row r="1283" spans="1:16" s="1" customFormat="1" ht="119.1" customHeight="1" outlineLevel="3" x14ac:dyDescent="0.2">
      <c r="A1283" s="11">
        <v>208897</v>
      </c>
      <c r="B1283" s="12" t="s">
        <v>2462</v>
      </c>
      <c r="C1283" s="12" t="s">
        <v>22</v>
      </c>
      <c r="D1283" s="13"/>
      <c r="E1283" s="14" t="s">
        <v>2463</v>
      </c>
      <c r="F1283" s="15" t="s">
        <v>24</v>
      </c>
      <c r="G1283" s="16"/>
      <c r="H1283" s="36">
        <v>4836.3</v>
      </c>
      <c r="I1283" s="36">
        <f>ROUND(H1283-(H1283*I2/100),2)</f>
        <v>4836.3</v>
      </c>
      <c r="J1283" s="17">
        <v>36</v>
      </c>
      <c r="K1283" s="18"/>
      <c r="L1283" s="18"/>
      <c r="M1283" s="20"/>
      <c r="N1283" s="37">
        <f t="shared" si="59"/>
        <v>0</v>
      </c>
      <c r="O1283" s="21">
        <v>1.6</v>
      </c>
      <c r="P1283" s="22">
        <v>4.3119999999999999E-3</v>
      </c>
    </row>
    <row r="1284" spans="1:16" s="1" customFormat="1" ht="119.1" customHeight="1" outlineLevel="3" x14ac:dyDescent="0.2">
      <c r="A1284" s="11">
        <v>167376</v>
      </c>
      <c r="B1284" s="12" t="s">
        <v>2464</v>
      </c>
      <c r="C1284" s="12" t="s">
        <v>22</v>
      </c>
      <c r="D1284" s="13"/>
      <c r="E1284" s="14" t="s">
        <v>2465</v>
      </c>
      <c r="F1284" s="15" t="s">
        <v>24</v>
      </c>
      <c r="G1284" s="16"/>
      <c r="H1284" s="36">
        <v>3954.1</v>
      </c>
      <c r="I1284" s="36">
        <f>ROUND(H1284-(H1284*I2/100),2)</f>
        <v>3954.1</v>
      </c>
      <c r="J1284" s="17">
        <v>21</v>
      </c>
      <c r="K1284" s="18"/>
      <c r="L1284" s="18"/>
      <c r="M1284" s="20"/>
      <c r="N1284" s="37">
        <f t="shared" si="59"/>
        <v>0</v>
      </c>
      <c r="O1284" s="21">
        <v>2.2669999999999999</v>
      </c>
      <c r="P1284" s="22">
        <v>3.4390000000000002E-3</v>
      </c>
    </row>
    <row r="1285" spans="1:16" s="1" customFormat="1" ht="119.1" customHeight="1" outlineLevel="3" x14ac:dyDescent="0.2">
      <c r="A1285" s="11">
        <v>168148</v>
      </c>
      <c r="B1285" s="12" t="s">
        <v>2466</v>
      </c>
      <c r="C1285" s="12" t="s">
        <v>22</v>
      </c>
      <c r="D1285" s="13"/>
      <c r="E1285" s="14" t="s">
        <v>2467</v>
      </c>
      <c r="F1285" s="15" t="s">
        <v>24</v>
      </c>
      <c r="G1285" s="16"/>
      <c r="H1285" s="36">
        <v>3231.3</v>
      </c>
      <c r="I1285" s="36">
        <f>ROUND(H1285-(H1285*I2/100),2)</f>
        <v>3231.3</v>
      </c>
      <c r="J1285" s="17">
        <v>70</v>
      </c>
      <c r="K1285" s="18"/>
      <c r="L1285" s="18"/>
      <c r="M1285" s="20"/>
      <c r="N1285" s="37">
        <f t="shared" si="59"/>
        <v>0</v>
      </c>
      <c r="O1285" s="21">
        <v>2.3330000000000002</v>
      </c>
      <c r="P1285" s="22">
        <v>3.4390000000000002E-3</v>
      </c>
    </row>
    <row r="1286" spans="1:16" s="1" customFormat="1" ht="119.1" customHeight="1" outlineLevel="3" x14ac:dyDescent="0.2">
      <c r="A1286" s="11">
        <v>196085</v>
      </c>
      <c r="B1286" s="12" t="s">
        <v>2468</v>
      </c>
      <c r="C1286" s="12" t="s">
        <v>22</v>
      </c>
      <c r="D1286" s="13"/>
      <c r="E1286" s="14" t="s">
        <v>2469</v>
      </c>
      <c r="F1286" s="15" t="s">
        <v>24</v>
      </c>
      <c r="G1286" s="16"/>
      <c r="H1286" s="36">
        <v>3811.7</v>
      </c>
      <c r="I1286" s="36">
        <f>ROUND(H1286-(H1286*I2/100),2)</f>
        <v>3811.7</v>
      </c>
      <c r="J1286" s="17">
        <v>337</v>
      </c>
      <c r="K1286" s="18"/>
      <c r="L1286" s="18"/>
      <c r="M1286" s="20"/>
      <c r="N1286" s="37">
        <f t="shared" si="59"/>
        <v>0</v>
      </c>
      <c r="O1286" s="21">
        <v>0.25</v>
      </c>
      <c r="P1286" s="22">
        <v>3.3110000000000001E-3</v>
      </c>
    </row>
    <row r="1287" spans="1:16" s="1" customFormat="1" ht="119.1" customHeight="1" outlineLevel="3" x14ac:dyDescent="0.2">
      <c r="A1287" s="11">
        <v>190507</v>
      </c>
      <c r="B1287" s="12" t="s">
        <v>2470</v>
      </c>
      <c r="C1287" s="12" t="s">
        <v>22</v>
      </c>
      <c r="D1287" s="13"/>
      <c r="E1287" s="14" t="s">
        <v>2471</v>
      </c>
      <c r="F1287" s="15" t="s">
        <v>24</v>
      </c>
      <c r="G1287" s="16"/>
      <c r="H1287" s="36">
        <v>4097.3</v>
      </c>
      <c r="I1287" s="36">
        <f>ROUND(H1287-(H1287*I2/100),2)</f>
        <v>4097.3</v>
      </c>
      <c r="J1287" s="17">
        <v>20</v>
      </c>
      <c r="K1287" s="18"/>
      <c r="L1287" s="18"/>
      <c r="M1287" s="20"/>
      <c r="N1287" s="37">
        <f t="shared" si="59"/>
        <v>0</v>
      </c>
      <c r="O1287" s="21">
        <v>2.5830000000000002</v>
      </c>
      <c r="P1287" s="22">
        <v>3.8509999999999998E-3</v>
      </c>
    </row>
    <row r="1288" spans="1:16" s="1" customFormat="1" ht="119.1" customHeight="1" outlineLevel="3" x14ac:dyDescent="0.2">
      <c r="A1288" s="11">
        <v>194191</v>
      </c>
      <c r="B1288" s="12" t="s">
        <v>2472</v>
      </c>
      <c r="C1288" s="12" t="s">
        <v>22</v>
      </c>
      <c r="D1288" s="13"/>
      <c r="E1288" s="14" t="s">
        <v>2473</v>
      </c>
      <c r="F1288" s="15" t="s">
        <v>24</v>
      </c>
      <c r="G1288" s="16"/>
      <c r="H1288" s="36">
        <v>4752.3999999999996</v>
      </c>
      <c r="I1288" s="36">
        <f>ROUND(H1288-(H1288*I2/100),2)</f>
        <v>4752.3999999999996</v>
      </c>
      <c r="J1288" s="17">
        <v>13</v>
      </c>
      <c r="K1288" s="18"/>
      <c r="L1288" s="18"/>
      <c r="M1288" s="20"/>
      <c r="N1288" s="37">
        <f t="shared" si="59"/>
        <v>0</v>
      </c>
      <c r="O1288" s="21">
        <v>2.5830000000000002</v>
      </c>
      <c r="P1288" s="22">
        <v>3.8509999999999998E-3</v>
      </c>
    </row>
    <row r="1289" spans="1:16" s="1" customFormat="1" ht="119.1" customHeight="1" outlineLevel="3" x14ac:dyDescent="0.2">
      <c r="A1289" s="11">
        <v>208903</v>
      </c>
      <c r="B1289" s="12" t="s">
        <v>2474</v>
      </c>
      <c r="C1289" s="12" t="s">
        <v>22</v>
      </c>
      <c r="D1289" s="13"/>
      <c r="E1289" s="14" t="s">
        <v>2475</v>
      </c>
      <c r="F1289" s="15" t="s">
        <v>24</v>
      </c>
      <c r="G1289" s="16"/>
      <c r="H1289" s="36">
        <v>7392.4</v>
      </c>
      <c r="I1289" s="36">
        <f>ROUND(H1289-(H1289*I2/100),2)</f>
        <v>7392.4</v>
      </c>
      <c r="J1289" s="17">
        <v>116</v>
      </c>
      <c r="K1289" s="18"/>
      <c r="L1289" s="18"/>
      <c r="M1289" s="20"/>
      <c r="N1289" s="37">
        <f t="shared" si="59"/>
        <v>0</v>
      </c>
      <c r="O1289" s="21">
        <v>4</v>
      </c>
      <c r="P1289" s="22">
        <v>6.698E-3</v>
      </c>
    </row>
    <row r="1290" spans="1:16" s="1" customFormat="1" ht="119.1" customHeight="1" outlineLevel="3" x14ac:dyDescent="0.2">
      <c r="A1290" s="11">
        <v>208899</v>
      </c>
      <c r="B1290" s="12" t="s">
        <v>2476</v>
      </c>
      <c r="C1290" s="12" t="s">
        <v>22</v>
      </c>
      <c r="D1290" s="13"/>
      <c r="E1290" s="14" t="s">
        <v>2477</v>
      </c>
      <c r="F1290" s="15" t="s">
        <v>24</v>
      </c>
      <c r="G1290" s="16"/>
      <c r="H1290" s="36">
        <v>6903.3</v>
      </c>
      <c r="I1290" s="36">
        <f>ROUND(H1290-(H1290*I2/100),2)</f>
        <v>6903.3</v>
      </c>
      <c r="J1290" s="17">
        <v>10</v>
      </c>
      <c r="K1290" s="18"/>
      <c r="L1290" s="18"/>
      <c r="M1290" s="20"/>
      <c r="N1290" s="37">
        <f t="shared" si="59"/>
        <v>0</v>
      </c>
      <c r="O1290" s="21">
        <v>1.8</v>
      </c>
      <c r="P1290" s="22">
        <v>4.3119999999999999E-3</v>
      </c>
    </row>
    <row r="1291" spans="1:16" s="1" customFormat="1" ht="119.1" customHeight="1" outlineLevel="3" x14ac:dyDescent="0.2">
      <c r="A1291" s="11">
        <v>169171</v>
      </c>
      <c r="B1291" s="12" t="s">
        <v>2478</v>
      </c>
      <c r="C1291" s="12" t="s">
        <v>22</v>
      </c>
      <c r="D1291" s="13"/>
      <c r="E1291" s="14" t="s">
        <v>2479</v>
      </c>
      <c r="F1291" s="15" t="s">
        <v>24</v>
      </c>
      <c r="G1291" s="16"/>
      <c r="H1291" s="36">
        <v>7591.4</v>
      </c>
      <c r="I1291" s="36">
        <f>ROUND(H1291-(H1291*I2/100),2)</f>
        <v>7591.4</v>
      </c>
      <c r="J1291" s="17">
        <v>47</v>
      </c>
      <c r="K1291" s="18"/>
      <c r="L1291" s="18"/>
      <c r="M1291" s="20"/>
      <c r="N1291" s="37">
        <f t="shared" si="59"/>
        <v>0</v>
      </c>
      <c r="O1291" s="21">
        <v>5.4</v>
      </c>
      <c r="P1291" s="22">
        <v>1.0024999999999999E-2</v>
      </c>
    </row>
    <row r="1292" spans="1:16" s="1" customFormat="1" ht="119.1" customHeight="1" outlineLevel="3" x14ac:dyDescent="0.2">
      <c r="A1292" s="11">
        <v>219323</v>
      </c>
      <c r="B1292" s="12" t="s">
        <v>2480</v>
      </c>
      <c r="C1292" s="12" t="s">
        <v>50</v>
      </c>
      <c r="D1292" s="13"/>
      <c r="E1292" s="14" t="s">
        <v>2481</v>
      </c>
      <c r="F1292" s="15" t="s">
        <v>24</v>
      </c>
      <c r="G1292" s="16"/>
      <c r="H1292" s="36">
        <v>2045</v>
      </c>
      <c r="I1292" s="36">
        <f>ROUND(H1292-(H1292*I2/100),2)</f>
        <v>2045</v>
      </c>
      <c r="J1292" s="17">
        <v>118</v>
      </c>
      <c r="K1292" s="18"/>
      <c r="L1292" s="18"/>
      <c r="M1292" s="20"/>
      <c r="N1292" s="37">
        <f t="shared" si="59"/>
        <v>0</v>
      </c>
      <c r="O1292" s="21">
        <v>2.1070000000000002</v>
      </c>
      <c r="P1292" s="22">
        <v>3.728E-3</v>
      </c>
    </row>
    <row r="1293" spans="1:16" s="1" customFormat="1" ht="119.1" customHeight="1" outlineLevel="3" x14ac:dyDescent="0.2">
      <c r="A1293" s="11">
        <v>219974</v>
      </c>
      <c r="B1293" s="12" t="s">
        <v>2482</v>
      </c>
      <c r="C1293" s="12" t="s">
        <v>50</v>
      </c>
      <c r="D1293" s="28"/>
      <c r="E1293" s="29" t="s">
        <v>2483</v>
      </c>
      <c r="F1293" s="30" t="s">
        <v>24</v>
      </c>
      <c r="G1293" s="31" t="s">
        <v>209</v>
      </c>
      <c r="H1293" s="36">
        <v>5210.1000000000004</v>
      </c>
      <c r="I1293" s="36">
        <f>ROUND(H1293-(H1293*I2/100),2)</f>
        <v>5210.1000000000004</v>
      </c>
      <c r="J1293" s="17">
        <v>177</v>
      </c>
      <c r="K1293" s="18"/>
      <c r="L1293" s="18"/>
      <c r="M1293" s="20"/>
      <c r="N1293" s="37">
        <f t="shared" si="59"/>
        <v>0</v>
      </c>
      <c r="O1293" s="21">
        <v>2.5</v>
      </c>
      <c r="P1293" s="22">
        <v>7.352E-3</v>
      </c>
    </row>
    <row r="1294" spans="1:16" s="1" customFormat="1" ht="119.1" customHeight="1" outlineLevel="3" x14ac:dyDescent="0.2">
      <c r="A1294" s="11">
        <v>219324</v>
      </c>
      <c r="B1294" s="12" t="s">
        <v>2484</v>
      </c>
      <c r="C1294" s="12" t="s">
        <v>50</v>
      </c>
      <c r="D1294" s="13"/>
      <c r="E1294" s="14" t="s">
        <v>2485</v>
      </c>
      <c r="F1294" s="15" t="s">
        <v>24</v>
      </c>
      <c r="G1294" s="16"/>
      <c r="H1294" s="36">
        <v>2309.6999999999998</v>
      </c>
      <c r="I1294" s="36">
        <f>ROUND(H1294-(H1294*I2/100),2)</f>
        <v>2309.6999999999998</v>
      </c>
      <c r="J1294" s="17">
        <v>215</v>
      </c>
      <c r="K1294" s="18"/>
      <c r="L1294" s="18"/>
      <c r="M1294" s="20"/>
      <c r="N1294" s="37">
        <f t="shared" si="59"/>
        <v>0</v>
      </c>
      <c r="O1294" s="21">
        <v>2.173</v>
      </c>
      <c r="P1294" s="22">
        <v>3.728E-3</v>
      </c>
    </row>
    <row r="1295" spans="1:16" s="1" customFormat="1" ht="119.1" customHeight="1" outlineLevel="3" x14ac:dyDescent="0.2">
      <c r="A1295" s="11">
        <v>219325</v>
      </c>
      <c r="B1295" s="12" t="s">
        <v>2486</v>
      </c>
      <c r="C1295" s="12" t="s">
        <v>50</v>
      </c>
      <c r="D1295" s="13"/>
      <c r="E1295" s="14" t="s">
        <v>2487</v>
      </c>
      <c r="F1295" s="15" t="s">
        <v>24</v>
      </c>
      <c r="G1295" s="16"/>
      <c r="H1295" s="36">
        <v>5599</v>
      </c>
      <c r="I1295" s="36">
        <f>ROUND(H1295-(H1295*I2/100),2)</f>
        <v>5599</v>
      </c>
      <c r="J1295" s="17">
        <v>90</v>
      </c>
      <c r="K1295" s="18"/>
      <c r="L1295" s="18"/>
      <c r="M1295" s="20"/>
      <c r="N1295" s="37">
        <f t="shared" si="59"/>
        <v>0</v>
      </c>
      <c r="O1295" s="21">
        <v>4.5999999999999996</v>
      </c>
      <c r="P1295" s="22">
        <v>9.0790000000000003E-3</v>
      </c>
    </row>
    <row r="1296" spans="1:16" s="1" customFormat="1" ht="119.1" customHeight="1" outlineLevel="3" x14ac:dyDescent="0.2">
      <c r="A1296" s="11">
        <v>184302</v>
      </c>
      <c r="B1296" s="12" t="s">
        <v>2488</v>
      </c>
      <c r="C1296" s="12" t="s">
        <v>22</v>
      </c>
      <c r="D1296" s="13"/>
      <c r="E1296" s="14" t="s">
        <v>2489</v>
      </c>
      <c r="F1296" s="15" t="s">
        <v>24</v>
      </c>
      <c r="G1296" s="16"/>
      <c r="H1296" s="36">
        <v>21580.6</v>
      </c>
      <c r="I1296" s="36">
        <f>ROUND(H1296-(H1296*I2/100),2)</f>
        <v>21580.6</v>
      </c>
      <c r="J1296" s="17">
        <v>2</v>
      </c>
      <c r="K1296" s="18"/>
      <c r="L1296" s="18"/>
      <c r="M1296" s="20"/>
      <c r="N1296" s="37">
        <f t="shared" si="59"/>
        <v>0</v>
      </c>
      <c r="O1296" s="21">
        <v>10.5</v>
      </c>
      <c r="P1296" s="22">
        <v>3.8281000000000003E-2</v>
      </c>
    </row>
    <row r="1297" spans="1:16" s="8" customFormat="1" ht="15.95" customHeight="1" outlineLevel="2" x14ac:dyDescent="0.25">
      <c r="A1297" s="9"/>
      <c r="B1297" s="10"/>
      <c r="C1297" s="10"/>
      <c r="D1297" s="10" t="s">
        <v>2490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</row>
    <row r="1298" spans="1:16" s="1" customFormat="1" ht="119.1" customHeight="1" outlineLevel="3" x14ac:dyDescent="0.2">
      <c r="A1298" s="11">
        <v>195741</v>
      </c>
      <c r="B1298" s="12" t="s">
        <v>2491</v>
      </c>
      <c r="C1298" s="12" t="s">
        <v>22</v>
      </c>
      <c r="D1298" s="13"/>
      <c r="E1298" s="14" t="s">
        <v>2492</v>
      </c>
      <c r="F1298" s="15" t="s">
        <v>24</v>
      </c>
      <c r="G1298" s="16"/>
      <c r="H1298" s="36">
        <v>3545.5</v>
      </c>
      <c r="I1298" s="36">
        <f>ROUND(H1298-(H1298*I2/100),2)</f>
        <v>3545.5</v>
      </c>
      <c r="J1298" s="17">
        <v>70</v>
      </c>
      <c r="K1298" s="18"/>
      <c r="L1298" s="18"/>
      <c r="M1298" s="20"/>
      <c r="N1298" s="37">
        <f t="shared" ref="N1298:N1303" si="60">I1298*M1298</f>
        <v>0</v>
      </c>
      <c r="O1298" s="21">
        <v>1.3</v>
      </c>
      <c r="P1298" s="22">
        <v>6.0819999999999997E-3</v>
      </c>
    </row>
    <row r="1299" spans="1:16" s="1" customFormat="1" ht="119.1" customHeight="1" outlineLevel="3" x14ac:dyDescent="0.2">
      <c r="A1299" s="11">
        <v>198574</v>
      </c>
      <c r="B1299" s="12" t="s">
        <v>2493</v>
      </c>
      <c r="C1299" s="12" t="s">
        <v>22</v>
      </c>
      <c r="D1299" s="13"/>
      <c r="E1299" s="14" t="s">
        <v>2494</v>
      </c>
      <c r="F1299" s="15" t="s">
        <v>24</v>
      </c>
      <c r="G1299" s="16"/>
      <c r="H1299" s="36">
        <v>4940.6000000000004</v>
      </c>
      <c r="I1299" s="36">
        <f>ROUND(H1299-(H1299*I2/100),2)</f>
        <v>4940.6000000000004</v>
      </c>
      <c r="J1299" s="17">
        <v>13</v>
      </c>
      <c r="K1299" s="18"/>
      <c r="L1299" s="18"/>
      <c r="M1299" s="20"/>
      <c r="N1299" s="37">
        <f t="shared" si="60"/>
        <v>0</v>
      </c>
      <c r="O1299" s="21">
        <v>2.5</v>
      </c>
      <c r="P1299" s="22">
        <v>1.4414E-2</v>
      </c>
    </row>
    <row r="1300" spans="1:16" s="1" customFormat="1" ht="119.1" customHeight="1" outlineLevel="3" x14ac:dyDescent="0.2">
      <c r="A1300" s="11">
        <v>219989</v>
      </c>
      <c r="B1300" s="12" t="s">
        <v>2495</v>
      </c>
      <c r="C1300" s="12" t="s">
        <v>50</v>
      </c>
      <c r="D1300" s="28"/>
      <c r="E1300" s="29" t="s">
        <v>2496</v>
      </c>
      <c r="F1300" s="30" t="s">
        <v>24</v>
      </c>
      <c r="G1300" s="31" t="s">
        <v>209</v>
      </c>
      <c r="H1300" s="36">
        <v>1147.2</v>
      </c>
      <c r="I1300" s="36">
        <f>ROUND(H1300-(H1300*I2/100),2)</f>
        <v>1147.2</v>
      </c>
      <c r="J1300" s="17">
        <v>137</v>
      </c>
      <c r="K1300" s="18"/>
      <c r="L1300" s="18"/>
      <c r="M1300" s="20"/>
      <c r="N1300" s="37">
        <f t="shared" si="60"/>
        <v>0</v>
      </c>
      <c r="O1300" s="21">
        <v>0.8</v>
      </c>
      <c r="P1300" s="22">
        <v>4.7629999999999999E-3</v>
      </c>
    </row>
    <row r="1301" spans="1:16" s="1" customFormat="1" ht="119.1" customHeight="1" outlineLevel="3" x14ac:dyDescent="0.2">
      <c r="A1301" s="11">
        <v>188319</v>
      </c>
      <c r="B1301" s="12" t="s">
        <v>2497</v>
      </c>
      <c r="C1301" s="12" t="s">
        <v>22</v>
      </c>
      <c r="D1301" s="13"/>
      <c r="E1301" s="14" t="s">
        <v>2498</v>
      </c>
      <c r="F1301" s="15" t="s">
        <v>24</v>
      </c>
      <c r="G1301" s="16"/>
      <c r="H1301" s="36">
        <v>7331.3</v>
      </c>
      <c r="I1301" s="36">
        <f>ROUND(H1301-(H1301*I2/100),2)</f>
        <v>7331.3</v>
      </c>
      <c r="J1301" s="17">
        <v>15</v>
      </c>
      <c r="K1301" s="18"/>
      <c r="L1301" s="18"/>
      <c r="M1301" s="20"/>
      <c r="N1301" s="37">
        <f t="shared" si="60"/>
        <v>0</v>
      </c>
      <c r="O1301" s="21">
        <v>2.4</v>
      </c>
      <c r="P1301" s="22">
        <v>1.1264E-2</v>
      </c>
    </row>
    <row r="1302" spans="1:16" s="1" customFormat="1" ht="119.1" customHeight="1" outlineLevel="3" x14ac:dyDescent="0.2">
      <c r="A1302" s="11">
        <v>211439</v>
      </c>
      <c r="B1302" s="12" t="s">
        <v>2499</v>
      </c>
      <c r="C1302" s="12" t="s">
        <v>22</v>
      </c>
      <c r="D1302" s="13"/>
      <c r="E1302" s="14" t="s">
        <v>2500</v>
      </c>
      <c r="F1302" s="15" t="s">
        <v>24</v>
      </c>
      <c r="G1302" s="16"/>
      <c r="H1302" s="36">
        <v>4208.5</v>
      </c>
      <c r="I1302" s="36">
        <f>ROUND(H1302-(H1302*I2/100),2)</f>
        <v>4208.5</v>
      </c>
      <c r="J1302" s="17">
        <v>53</v>
      </c>
      <c r="K1302" s="18"/>
      <c r="L1302" s="18"/>
      <c r="M1302" s="20"/>
      <c r="N1302" s="37">
        <f t="shared" si="60"/>
        <v>0</v>
      </c>
      <c r="O1302" s="21">
        <v>1.54</v>
      </c>
      <c r="P1302" s="22">
        <v>2E-3</v>
      </c>
    </row>
    <row r="1303" spans="1:16" s="1" customFormat="1" ht="119.1" customHeight="1" outlineLevel="3" x14ac:dyDescent="0.2">
      <c r="A1303" s="11">
        <v>209989</v>
      </c>
      <c r="B1303" s="12" t="s">
        <v>2501</v>
      </c>
      <c r="C1303" s="12" t="s">
        <v>22</v>
      </c>
      <c r="D1303" s="13"/>
      <c r="E1303" s="14" t="s">
        <v>2502</v>
      </c>
      <c r="F1303" s="15" t="s">
        <v>24</v>
      </c>
      <c r="G1303" s="16"/>
      <c r="H1303" s="36">
        <v>9736.7999999999993</v>
      </c>
      <c r="I1303" s="36">
        <f>ROUND(H1303-(H1303*I2/100),2)</f>
        <v>9736.7999999999993</v>
      </c>
      <c r="J1303" s="17">
        <v>30</v>
      </c>
      <c r="K1303" s="18"/>
      <c r="L1303" s="18"/>
      <c r="M1303" s="20"/>
      <c r="N1303" s="37">
        <f t="shared" si="60"/>
        <v>0</v>
      </c>
      <c r="O1303" s="21">
        <v>2.6</v>
      </c>
      <c r="P1303" s="22">
        <v>9.1800000000000007E-3</v>
      </c>
    </row>
    <row r="1304" spans="1:16" s="8" customFormat="1" ht="15.95" customHeight="1" outlineLevel="2" x14ac:dyDescent="0.25">
      <c r="A1304" s="9"/>
      <c r="B1304" s="10"/>
      <c r="C1304" s="10"/>
      <c r="D1304" s="10" t="s">
        <v>2503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</row>
    <row r="1305" spans="1:16" s="1" customFormat="1" ht="119.1" customHeight="1" outlineLevel="3" x14ac:dyDescent="0.2">
      <c r="A1305" s="11">
        <v>181053</v>
      </c>
      <c r="B1305" s="12" t="s">
        <v>2504</v>
      </c>
      <c r="C1305" s="12" t="s">
        <v>22</v>
      </c>
      <c r="D1305" s="13"/>
      <c r="E1305" s="14" t="s">
        <v>2505</v>
      </c>
      <c r="F1305" s="15" t="s">
        <v>24</v>
      </c>
      <c r="G1305" s="16"/>
      <c r="H1305" s="36">
        <v>1730</v>
      </c>
      <c r="I1305" s="36">
        <f>ROUND(H1305-(H1305*I2/100),2)</f>
        <v>1730</v>
      </c>
      <c r="J1305" s="17">
        <v>120</v>
      </c>
      <c r="K1305" s="18"/>
      <c r="L1305" s="18"/>
      <c r="M1305" s="20"/>
      <c r="N1305" s="37">
        <f t="shared" ref="N1305:N1318" si="61">I1305*M1305</f>
        <v>0</v>
      </c>
      <c r="O1305" s="21">
        <v>0.72499999999999998</v>
      </c>
      <c r="P1305" s="22">
        <v>1.276E-3</v>
      </c>
    </row>
    <row r="1306" spans="1:16" s="1" customFormat="1" ht="119.1" customHeight="1" outlineLevel="3" x14ac:dyDescent="0.2">
      <c r="A1306" s="11">
        <v>181049</v>
      </c>
      <c r="B1306" s="12" t="s">
        <v>2506</v>
      </c>
      <c r="C1306" s="12" t="s">
        <v>22</v>
      </c>
      <c r="D1306" s="13"/>
      <c r="E1306" s="14" t="s">
        <v>2507</v>
      </c>
      <c r="F1306" s="15" t="s">
        <v>24</v>
      </c>
      <c r="G1306" s="16"/>
      <c r="H1306" s="36">
        <v>1759.1</v>
      </c>
      <c r="I1306" s="36">
        <f>ROUND(H1306-(H1306*I2/100),2)</f>
        <v>1759.1</v>
      </c>
      <c r="J1306" s="17">
        <v>44</v>
      </c>
      <c r="K1306" s="18"/>
      <c r="L1306" s="18"/>
      <c r="M1306" s="20"/>
      <c r="N1306" s="37">
        <f t="shared" si="61"/>
        <v>0</v>
      </c>
      <c r="O1306" s="21">
        <v>0.49</v>
      </c>
      <c r="P1306" s="22">
        <v>1.276E-3</v>
      </c>
    </row>
    <row r="1307" spans="1:16" s="1" customFormat="1" ht="119.1" customHeight="1" outlineLevel="3" x14ac:dyDescent="0.2">
      <c r="A1307" s="11">
        <v>181052</v>
      </c>
      <c r="B1307" s="12" t="s">
        <v>2508</v>
      </c>
      <c r="C1307" s="12" t="s">
        <v>22</v>
      </c>
      <c r="D1307" s="13"/>
      <c r="E1307" s="14" t="s">
        <v>2509</v>
      </c>
      <c r="F1307" s="15" t="s">
        <v>24</v>
      </c>
      <c r="G1307" s="16"/>
      <c r="H1307" s="36">
        <v>1746.7</v>
      </c>
      <c r="I1307" s="36">
        <f>ROUND(H1307-(H1307*I2/100),2)</f>
        <v>1746.7</v>
      </c>
      <c r="J1307" s="17">
        <v>83</v>
      </c>
      <c r="K1307" s="18"/>
      <c r="L1307" s="18"/>
      <c r="M1307" s="20"/>
      <c r="N1307" s="37">
        <f t="shared" si="61"/>
        <v>0</v>
      </c>
      <c r="O1307" s="21">
        <v>0.52500000000000002</v>
      </c>
      <c r="P1307" s="22">
        <v>1.276E-3</v>
      </c>
    </row>
    <row r="1308" spans="1:16" s="1" customFormat="1" ht="119.1" customHeight="1" outlineLevel="3" x14ac:dyDescent="0.2">
      <c r="A1308" s="11">
        <v>206797</v>
      </c>
      <c r="B1308" s="12" t="s">
        <v>2510</v>
      </c>
      <c r="C1308" s="12" t="s">
        <v>22</v>
      </c>
      <c r="D1308" s="13"/>
      <c r="E1308" s="14" t="s">
        <v>2511</v>
      </c>
      <c r="F1308" s="15" t="s">
        <v>24</v>
      </c>
      <c r="G1308" s="16"/>
      <c r="H1308" s="36">
        <v>4700.3999999999996</v>
      </c>
      <c r="I1308" s="36">
        <f>ROUND(H1308-(H1308*I2/100),2)</f>
        <v>4700.3999999999996</v>
      </c>
      <c r="J1308" s="17">
        <v>76</v>
      </c>
      <c r="K1308" s="18"/>
      <c r="L1308" s="18"/>
      <c r="M1308" s="20"/>
      <c r="N1308" s="37">
        <f t="shared" si="61"/>
        <v>0</v>
      </c>
      <c r="O1308" s="21">
        <v>0.5</v>
      </c>
      <c r="P1308" s="22">
        <v>1E-3</v>
      </c>
    </row>
    <row r="1309" spans="1:16" s="1" customFormat="1" ht="119.1" customHeight="1" outlineLevel="3" x14ac:dyDescent="0.2">
      <c r="A1309" s="11">
        <v>206795</v>
      </c>
      <c r="B1309" s="12" t="s">
        <v>2512</v>
      </c>
      <c r="C1309" s="12" t="s">
        <v>22</v>
      </c>
      <c r="D1309" s="13"/>
      <c r="E1309" s="14" t="s">
        <v>2513</v>
      </c>
      <c r="F1309" s="15" t="s">
        <v>24</v>
      </c>
      <c r="G1309" s="16"/>
      <c r="H1309" s="36">
        <v>4735.2</v>
      </c>
      <c r="I1309" s="36">
        <f>ROUND(H1309-(H1309*I2/100),2)</f>
        <v>4735.2</v>
      </c>
      <c r="J1309" s="17">
        <v>84</v>
      </c>
      <c r="K1309" s="18"/>
      <c r="L1309" s="18"/>
      <c r="M1309" s="20"/>
      <c r="N1309" s="37">
        <f t="shared" si="61"/>
        <v>0</v>
      </c>
      <c r="O1309" s="21">
        <v>0.5</v>
      </c>
      <c r="P1309" s="22">
        <v>1E-3</v>
      </c>
    </row>
    <row r="1310" spans="1:16" s="1" customFormat="1" ht="119.1" customHeight="1" outlineLevel="3" x14ac:dyDescent="0.2">
      <c r="A1310" s="11">
        <v>206796</v>
      </c>
      <c r="B1310" s="12" t="s">
        <v>2514</v>
      </c>
      <c r="C1310" s="12" t="s">
        <v>22</v>
      </c>
      <c r="D1310" s="13"/>
      <c r="E1310" s="14" t="s">
        <v>2515</v>
      </c>
      <c r="F1310" s="15" t="s">
        <v>24</v>
      </c>
      <c r="G1310" s="16"/>
      <c r="H1310" s="36">
        <v>4658.5</v>
      </c>
      <c r="I1310" s="36">
        <f>ROUND(H1310-(H1310*I2/100),2)</f>
        <v>4658.5</v>
      </c>
      <c r="J1310" s="17">
        <v>72</v>
      </c>
      <c r="K1310" s="18"/>
      <c r="L1310" s="18"/>
      <c r="M1310" s="20"/>
      <c r="N1310" s="37">
        <f t="shared" si="61"/>
        <v>0</v>
      </c>
      <c r="O1310" s="21">
        <v>0.5</v>
      </c>
      <c r="P1310" s="22">
        <v>1E-3</v>
      </c>
    </row>
    <row r="1311" spans="1:16" s="1" customFormat="1" ht="119.1" customHeight="1" outlineLevel="3" x14ac:dyDescent="0.2">
      <c r="A1311" s="11">
        <v>183304</v>
      </c>
      <c r="B1311" s="12" t="s">
        <v>2516</v>
      </c>
      <c r="C1311" s="12" t="s">
        <v>22</v>
      </c>
      <c r="D1311" s="13"/>
      <c r="E1311" s="14" t="s">
        <v>2517</v>
      </c>
      <c r="F1311" s="15" t="s">
        <v>113</v>
      </c>
      <c r="G1311" s="16"/>
      <c r="H1311" s="36">
        <v>428.4</v>
      </c>
      <c r="I1311" s="36">
        <f>ROUND(H1311-(H1311*I2/100),2)</f>
        <v>428.4</v>
      </c>
      <c r="J1311" s="17">
        <v>824</v>
      </c>
      <c r="K1311" s="18"/>
      <c r="L1311" s="18"/>
      <c r="M1311" s="20"/>
      <c r="N1311" s="37">
        <f t="shared" si="61"/>
        <v>0</v>
      </c>
      <c r="O1311" s="21">
        <v>9.5000000000000001E-2</v>
      </c>
      <c r="P1311" s="22">
        <v>9.2999999999999997E-5</v>
      </c>
    </row>
    <row r="1312" spans="1:16" s="1" customFormat="1" ht="119.1" customHeight="1" outlineLevel="3" x14ac:dyDescent="0.2">
      <c r="A1312" s="11">
        <v>180993</v>
      </c>
      <c r="B1312" s="12" t="s">
        <v>2518</v>
      </c>
      <c r="C1312" s="12" t="s">
        <v>22</v>
      </c>
      <c r="D1312" s="13"/>
      <c r="E1312" s="14" t="s">
        <v>2519</v>
      </c>
      <c r="F1312" s="15" t="s">
        <v>113</v>
      </c>
      <c r="G1312" s="16"/>
      <c r="H1312" s="36">
        <v>204.8</v>
      </c>
      <c r="I1312" s="36">
        <f>ROUND(H1312-(H1312*I2/100),2)</f>
        <v>204.8</v>
      </c>
      <c r="J1312" s="17">
        <v>501</v>
      </c>
      <c r="K1312" s="18"/>
      <c r="L1312" s="18"/>
      <c r="M1312" s="20"/>
      <c r="N1312" s="37">
        <f t="shared" si="61"/>
        <v>0</v>
      </c>
      <c r="O1312" s="21">
        <v>2.1000000000000001E-2</v>
      </c>
      <c r="P1312" s="22">
        <v>4.1E-5</v>
      </c>
    </row>
    <row r="1313" spans="1:16" s="1" customFormat="1" ht="119.1" customHeight="1" outlineLevel="3" x14ac:dyDescent="0.2">
      <c r="A1313" s="11">
        <v>210055</v>
      </c>
      <c r="B1313" s="12" t="s">
        <v>2520</v>
      </c>
      <c r="C1313" s="12" t="s">
        <v>22</v>
      </c>
      <c r="D1313" s="28"/>
      <c r="E1313" s="29" t="s">
        <v>2521</v>
      </c>
      <c r="F1313" s="30" t="s">
        <v>24</v>
      </c>
      <c r="G1313" s="31" t="s">
        <v>209</v>
      </c>
      <c r="H1313" s="36">
        <v>8302.6</v>
      </c>
      <c r="I1313" s="36">
        <f>ROUND(H1313-(H1313*I2/100),2)</f>
        <v>8302.6</v>
      </c>
      <c r="J1313" s="17">
        <v>8</v>
      </c>
      <c r="K1313" s="18"/>
      <c r="L1313" s="18"/>
      <c r="M1313" s="20"/>
      <c r="N1313" s="37">
        <f t="shared" si="61"/>
        <v>0</v>
      </c>
      <c r="O1313" s="21">
        <v>2.8</v>
      </c>
      <c r="P1313" s="22">
        <v>1.0330000000000001E-2</v>
      </c>
    </row>
    <row r="1314" spans="1:16" s="1" customFormat="1" ht="119.1" customHeight="1" outlineLevel="3" x14ac:dyDescent="0.2">
      <c r="A1314" s="11">
        <v>219991</v>
      </c>
      <c r="B1314" s="12" t="s">
        <v>2522</v>
      </c>
      <c r="C1314" s="12" t="s">
        <v>50</v>
      </c>
      <c r="D1314" s="28"/>
      <c r="E1314" s="29" t="s">
        <v>2523</v>
      </c>
      <c r="F1314" s="30" t="s">
        <v>24</v>
      </c>
      <c r="G1314" s="31" t="s">
        <v>209</v>
      </c>
      <c r="H1314" s="36">
        <v>3318.7</v>
      </c>
      <c r="I1314" s="36">
        <f>ROUND(H1314-(H1314*I2/100),2)</f>
        <v>3318.7</v>
      </c>
      <c r="J1314" s="17">
        <v>101</v>
      </c>
      <c r="K1314" s="18"/>
      <c r="L1314" s="18"/>
      <c r="M1314" s="20"/>
      <c r="N1314" s="37">
        <f t="shared" si="61"/>
        <v>0</v>
      </c>
      <c r="O1314" s="21">
        <v>2.9</v>
      </c>
      <c r="P1314" s="22">
        <v>9.1050000000000002E-3</v>
      </c>
    </row>
    <row r="1315" spans="1:16" s="1" customFormat="1" ht="119.1" customHeight="1" outlineLevel="3" x14ac:dyDescent="0.2">
      <c r="A1315" s="11">
        <v>138602</v>
      </c>
      <c r="B1315" s="12" t="s">
        <v>2524</v>
      </c>
      <c r="C1315" s="12" t="s">
        <v>22</v>
      </c>
      <c r="D1315" s="13"/>
      <c r="E1315" s="14" t="s">
        <v>2525</v>
      </c>
      <c r="F1315" s="15" t="s">
        <v>24</v>
      </c>
      <c r="G1315" s="16"/>
      <c r="H1315" s="36">
        <v>7424</v>
      </c>
      <c r="I1315" s="36">
        <f>ROUND(H1315-(H1315*I2/100),2)</f>
        <v>7424</v>
      </c>
      <c r="J1315" s="17">
        <v>164</v>
      </c>
      <c r="K1315" s="18"/>
      <c r="L1315" s="18"/>
      <c r="M1315" s="20"/>
      <c r="N1315" s="37">
        <f t="shared" si="61"/>
        <v>0</v>
      </c>
      <c r="O1315" s="21">
        <v>4.45</v>
      </c>
      <c r="P1315" s="22">
        <v>1.3107000000000001E-2</v>
      </c>
    </row>
    <row r="1316" spans="1:16" s="1" customFormat="1" ht="119.1" customHeight="1" outlineLevel="3" x14ac:dyDescent="0.2">
      <c r="A1316" s="11">
        <v>195740</v>
      </c>
      <c r="B1316" s="12" t="s">
        <v>2526</v>
      </c>
      <c r="C1316" s="12" t="s">
        <v>22</v>
      </c>
      <c r="D1316" s="13"/>
      <c r="E1316" s="14" t="s">
        <v>2527</v>
      </c>
      <c r="F1316" s="15" t="s">
        <v>24</v>
      </c>
      <c r="G1316" s="16"/>
      <c r="H1316" s="36">
        <v>4155.3999999999996</v>
      </c>
      <c r="I1316" s="36">
        <f>ROUND(H1316-(H1316*I2/100),2)</f>
        <v>4155.3999999999996</v>
      </c>
      <c r="J1316" s="17">
        <v>56</v>
      </c>
      <c r="K1316" s="18"/>
      <c r="L1316" s="18"/>
      <c r="M1316" s="20"/>
      <c r="N1316" s="37">
        <f t="shared" si="61"/>
        <v>0</v>
      </c>
      <c r="O1316" s="21">
        <v>3</v>
      </c>
      <c r="P1316" s="22">
        <v>9.0849999999999993E-3</v>
      </c>
    </row>
    <row r="1317" spans="1:16" s="1" customFormat="1" ht="119.1" customHeight="1" outlineLevel="3" x14ac:dyDescent="0.2">
      <c r="A1317" s="11">
        <v>183325</v>
      </c>
      <c r="B1317" s="12" t="s">
        <v>2528</v>
      </c>
      <c r="C1317" s="12" t="s">
        <v>22</v>
      </c>
      <c r="D1317" s="13"/>
      <c r="E1317" s="14" t="s">
        <v>2529</v>
      </c>
      <c r="F1317" s="15" t="s">
        <v>24</v>
      </c>
      <c r="G1317" s="16"/>
      <c r="H1317" s="36">
        <v>5906.4</v>
      </c>
      <c r="I1317" s="36">
        <f>ROUND(H1317-(H1317*I2/100),2)</f>
        <v>5906.4</v>
      </c>
      <c r="J1317" s="17">
        <v>97</v>
      </c>
      <c r="K1317" s="18"/>
      <c r="L1317" s="18"/>
      <c r="M1317" s="20"/>
      <c r="N1317" s="37">
        <f t="shared" si="61"/>
        <v>0</v>
      </c>
      <c r="O1317" s="21">
        <v>3.35</v>
      </c>
      <c r="P1317" s="22">
        <v>9.0849999999999993E-3</v>
      </c>
    </row>
    <row r="1318" spans="1:16" s="1" customFormat="1" ht="119.1" customHeight="1" outlineLevel="3" x14ac:dyDescent="0.2">
      <c r="A1318" s="11">
        <v>165147</v>
      </c>
      <c r="B1318" s="12" t="s">
        <v>2530</v>
      </c>
      <c r="C1318" s="12" t="s">
        <v>22</v>
      </c>
      <c r="D1318" s="13"/>
      <c r="E1318" s="14" t="s">
        <v>2531</v>
      </c>
      <c r="F1318" s="15" t="s">
        <v>24</v>
      </c>
      <c r="G1318" s="16"/>
      <c r="H1318" s="36">
        <v>7889.6</v>
      </c>
      <c r="I1318" s="36">
        <f>ROUND(H1318-(H1318*I2/100),2)</f>
        <v>7889.6</v>
      </c>
      <c r="J1318" s="17">
        <v>92</v>
      </c>
      <c r="K1318" s="18"/>
      <c r="L1318" s="18"/>
      <c r="M1318" s="20"/>
      <c r="N1318" s="37">
        <f t="shared" si="61"/>
        <v>0</v>
      </c>
      <c r="O1318" s="21">
        <v>6.69</v>
      </c>
      <c r="P1318" s="22">
        <v>4.7060000000000001E-3</v>
      </c>
    </row>
    <row r="1319" spans="1:16" s="8" customFormat="1" ht="15.95" customHeight="1" outlineLevel="2" x14ac:dyDescent="0.25">
      <c r="A1319" s="9"/>
      <c r="B1319" s="10"/>
      <c r="C1319" s="10"/>
      <c r="D1319" s="10" t="s">
        <v>2532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</row>
    <row r="1320" spans="1:16" s="1" customFormat="1" ht="119.1" customHeight="1" outlineLevel="3" x14ac:dyDescent="0.2">
      <c r="A1320" s="11">
        <v>216142</v>
      </c>
      <c r="B1320" s="12" t="s">
        <v>2533</v>
      </c>
      <c r="C1320" s="12" t="s">
        <v>22</v>
      </c>
      <c r="D1320" s="13"/>
      <c r="E1320" s="14" t="s">
        <v>2534</v>
      </c>
      <c r="F1320" s="15" t="s">
        <v>24</v>
      </c>
      <c r="G1320" s="16"/>
      <c r="H1320" s="36">
        <v>7664.9</v>
      </c>
      <c r="I1320" s="36">
        <f>ROUND(H1320-(H1320*I2/100),2)</f>
        <v>7664.9</v>
      </c>
      <c r="J1320" s="17">
        <v>9</v>
      </c>
      <c r="K1320" s="18"/>
      <c r="L1320" s="18"/>
      <c r="M1320" s="20"/>
      <c r="N1320" s="37">
        <f t="shared" ref="N1320:N1333" si="62">I1320*M1320</f>
        <v>0</v>
      </c>
      <c r="O1320" s="21">
        <v>3.3</v>
      </c>
      <c r="P1320" s="22">
        <v>1.8919999999999999E-2</v>
      </c>
    </row>
    <row r="1321" spans="1:16" s="1" customFormat="1" ht="119.1" customHeight="1" outlineLevel="3" x14ac:dyDescent="0.2">
      <c r="A1321" s="11">
        <v>219278</v>
      </c>
      <c r="B1321" s="12" t="s">
        <v>2535</v>
      </c>
      <c r="C1321" s="12" t="s">
        <v>22</v>
      </c>
      <c r="D1321" s="13"/>
      <c r="E1321" s="14" t="s">
        <v>2536</v>
      </c>
      <c r="F1321" s="15" t="s">
        <v>24</v>
      </c>
      <c r="G1321" s="16"/>
      <c r="H1321" s="36">
        <v>8087.5</v>
      </c>
      <c r="I1321" s="36">
        <f>ROUND(H1321-(H1321*I2/100),2)</f>
        <v>8087.5</v>
      </c>
      <c r="J1321" s="17">
        <v>78</v>
      </c>
      <c r="K1321" s="18"/>
      <c r="L1321" s="18"/>
      <c r="M1321" s="20"/>
      <c r="N1321" s="37">
        <f t="shared" si="62"/>
        <v>0</v>
      </c>
      <c r="O1321" s="21">
        <v>0.2</v>
      </c>
      <c r="P1321" s="22">
        <v>2E-3</v>
      </c>
    </row>
    <row r="1322" spans="1:16" s="1" customFormat="1" ht="119.1" customHeight="1" outlineLevel="3" x14ac:dyDescent="0.2">
      <c r="A1322" s="11">
        <v>219277</v>
      </c>
      <c r="B1322" s="12" t="s">
        <v>2537</v>
      </c>
      <c r="C1322" s="12" t="s">
        <v>22</v>
      </c>
      <c r="D1322" s="13"/>
      <c r="E1322" s="14" t="s">
        <v>2538</v>
      </c>
      <c r="F1322" s="15" t="s">
        <v>24</v>
      </c>
      <c r="G1322" s="16"/>
      <c r="H1322" s="36">
        <v>4075.6</v>
      </c>
      <c r="I1322" s="36">
        <f>ROUND(H1322-(H1322*I2/100),2)</f>
        <v>4075.6</v>
      </c>
      <c r="J1322" s="17">
        <v>77</v>
      </c>
      <c r="K1322" s="18"/>
      <c r="L1322" s="18"/>
      <c r="M1322" s="20"/>
      <c r="N1322" s="37">
        <f t="shared" si="62"/>
        <v>0</v>
      </c>
      <c r="O1322" s="21">
        <v>0.2</v>
      </c>
      <c r="P1322" s="22">
        <v>2E-3</v>
      </c>
    </row>
    <row r="1323" spans="1:16" s="1" customFormat="1" ht="119.1" customHeight="1" outlineLevel="3" x14ac:dyDescent="0.2">
      <c r="A1323" s="11">
        <v>180953</v>
      </c>
      <c r="B1323" s="12" t="s">
        <v>2539</v>
      </c>
      <c r="C1323" s="12" t="s">
        <v>22</v>
      </c>
      <c r="D1323" s="13"/>
      <c r="E1323" s="14" t="s">
        <v>2540</v>
      </c>
      <c r="F1323" s="15" t="s">
        <v>24</v>
      </c>
      <c r="G1323" s="16"/>
      <c r="H1323" s="36">
        <v>2512.1</v>
      </c>
      <c r="I1323" s="36">
        <f>ROUND(H1323-(H1323*I2/100),2)</f>
        <v>2512.1</v>
      </c>
      <c r="J1323" s="17">
        <v>41</v>
      </c>
      <c r="K1323" s="18"/>
      <c r="L1323" s="18"/>
      <c r="M1323" s="20"/>
      <c r="N1323" s="37">
        <f t="shared" si="62"/>
        <v>0</v>
      </c>
      <c r="O1323" s="21">
        <v>1.72</v>
      </c>
      <c r="P1323" s="22">
        <v>5.8650000000000004E-3</v>
      </c>
    </row>
    <row r="1324" spans="1:16" s="1" customFormat="1" ht="119.1" customHeight="1" outlineLevel="3" x14ac:dyDescent="0.2">
      <c r="A1324" s="11">
        <v>206793</v>
      </c>
      <c r="B1324" s="12" t="s">
        <v>2541</v>
      </c>
      <c r="C1324" s="12" t="s">
        <v>22</v>
      </c>
      <c r="D1324" s="13"/>
      <c r="E1324" s="14" t="s">
        <v>2542</v>
      </c>
      <c r="F1324" s="15" t="s">
        <v>24</v>
      </c>
      <c r="G1324" s="16"/>
      <c r="H1324" s="36">
        <v>3610.5</v>
      </c>
      <c r="I1324" s="36">
        <f>ROUND(H1324-(H1324*I2/100),2)</f>
        <v>3610.5</v>
      </c>
      <c r="J1324" s="17">
        <v>40</v>
      </c>
      <c r="K1324" s="18"/>
      <c r="L1324" s="18"/>
      <c r="M1324" s="20"/>
      <c r="N1324" s="37">
        <f t="shared" si="62"/>
        <v>0</v>
      </c>
      <c r="O1324" s="21">
        <v>2.1</v>
      </c>
      <c r="P1324" s="22">
        <v>2E-3</v>
      </c>
    </row>
    <row r="1325" spans="1:16" s="1" customFormat="1" ht="119.1" customHeight="1" outlineLevel="3" x14ac:dyDescent="0.2">
      <c r="A1325" s="11">
        <v>197643</v>
      </c>
      <c r="B1325" s="12" t="s">
        <v>2543</v>
      </c>
      <c r="C1325" s="12" t="s">
        <v>22</v>
      </c>
      <c r="D1325" s="13"/>
      <c r="E1325" s="14" t="s">
        <v>2544</v>
      </c>
      <c r="F1325" s="15" t="s">
        <v>24</v>
      </c>
      <c r="G1325" s="16"/>
      <c r="H1325" s="36">
        <v>3547</v>
      </c>
      <c r="I1325" s="36">
        <f>ROUND(H1325-(H1325*I2/100),2)</f>
        <v>3547</v>
      </c>
      <c r="J1325" s="17">
        <v>112</v>
      </c>
      <c r="K1325" s="18"/>
      <c r="L1325" s="18"/>
      <c r="M1325" s="20"/>
      <c r="N1325" s="37">
        <f t="shared" si="62"/>
        <v>0</v>
      </c>
      <c r="O1325" s="21">
        <v>2</v>
      </c>
      <c r="P1325" s="22">
        <v>5.8650000000000004E-3</v>
      </c>
    </row>
    <row r="1326" spans="1:16" s="1" customFormat="1" ht="119.1" customHeight="1" outlineLevel="3" x14ac:dyDescent="0.2">
      <c r="A1326" s="11">
        <v>183281</v>
      </c>
      <c r="B1326" s="12" t="s">
        <v>2545</v>
      </c>
      <c r="C1326" s="12" t="s">
        <v>22</v>
      </c>
      <c r="D1326" s="13"/>
      <c r="E1326" s="14" t="s">
        <v>2546</v>
      </c>
      <c r="F1326" s="15" t="s">
        <v>24</v>
      </c>
      <c r="G1326" s="16"/>
      <c r="H1326" s="36">
        <v>4357.8</v>
      </c>
      <c r="I1326" s="36">
        <f>ROUND(H1326-(H1326*I2/100),2)</f>
        <v>4357.8</v>
      </c>
      <c r="J1326" s="17">
        <v>35</v>
      </c>
      <c r="K1326" s="18"/>
      <c r="L1326" s="18"/>
      <c r="M1326" s="20"/>
      <c r="N1326" s="37">
        <f t="shared" si="62"/>
        <v>0</v>
      </c>
      <c r="O1326" s="21">
        <v>2.2000000000000002</v>
      </c>
      <c r="P1326" s="22">
        <v>3.7499999999999999E-3</v>
      </c>
    </row>
    <row r="1327" spans="1:16" s="1" customFormat="1" ht="119.1" customHeight="1" outlineLevel="3" x14ac:dyDescent="0.2">
      <c r="A1327" s="11">
        <v>212551</v>
      </c>
      <c r="B1327" s="12" t="s">
        <v>2547</v>
      </c>
      <c r="C1327" s="12" t="s">
        <v>22</v>
      </c>
      <c r="D1327" s="13"/>
      <c r="E1327" s="14" t="s">
        <v>2548</v>
      </c>
      <c r="F1327" s="15" t="s">
        <v>24</v>
      </c>
      <c r="G1327" s="16"/>
      <c r="H1327" s="36">
        <v>9781.4</v>
      </c>
      <c r="I1327" s="36">
        <f>ROUND(H1327-(H1327*I2/100),2)</f>
        <v>9781.4</v>
      </c>
      <c r="J1327" s="17">
        <v>10</v>
      </c>
      <c r="K1327" s="18"/>
      <c r="L1327" s="18"/>
      <c r="M1327" s="20"/>
      <c r="N1327" s="37">
        <f t="shared" si="62"/>
        <v>0</v>
      </c>
      <c r="O1327" s="21">
        <v>2.4169999999999998</v>
      </c>
      <c r="P1327" s="22">
        <v>1.0800000000000001E-2</v>
      </c>
    </row>
    <row r="1328" spans="1:16" s="1" customFormat="1" ht="119.1" customHeight="1" outlineLevel="3" x14ac:dyDescent="0.2">
      <c r="A1328" s="11">
        <v>212553</v>
      </c>
      <c r="B1328" s="12" t="s">
        <v>2549</v>
      </c>
      <c r="C1328" s="12" t="s">
        <v>22</v>
      </c>
      <c r="D1328" s="13"/>
      <c r="E1328" s="14" t="s">
        <v>2550</v>
      </c>
      <c r="F1328" s="15" t="s">
        <v>24</v>
      </c>
      <c r="G1328" s="16"/>
      <c r="H1328" s="36">
        <v>8142.2</v>
      </c>
      <c r="I1328" s="36">
        <f>ROUND(H1328-(H1328*I2/100),2)</f>
        <v>8142.2</v>
      </c>
      <c r="J1328" s="17">
        <v>13</v>
      </c>
      <c r="K1328" s="18"/>
      <c r="L1328" s="18"/>
      <c r="M1328" s="20"/>
      <c r="N1328" s="37">
        <f t="shared" si="62"/>
        <v>0</v>
      </c>
      <c r="O1328" s="21">
        <v>2.25</v>
      </c>
      <c r="P1328" s="22">
        <v>2.2356000000000001E-2</v>
      </c>
    </row>
    <row r="1329" spans="1:16" s="1" customFormat="1" ht="119.1" customHeight="1" outlineLevel="3" x14ac:dyDescent="0.2">
      <c r="A1329" s="11">
        <v>212552</v>
      </c>
      <c r="B1329" s="12" t="s">
        <v>2551</v>
      </c>
      <c r="C1329" s="12" t="s">
        <v>22</v>
      </c>
      <c r="D1329" s="13"/>
      <c r="E1329" s="14" t="s">
        <v>2552</v>
      </c>
      <c r="F1329" s="15" t="s">
        <v>24</v>
      </c>
      <c r="G1329" s="16"/>
      <c r="H1329" s="36">
        <v>11961.7</v>
      </c>
      <c r="I1329" s="36">
        <f>ROUND(H1329-(H1329*I2/100),2)</f>
        <v>11961.7</v>
      </c>
      <c r="J1329" s="17">
        <v>8</v>
      </c>
      <c r="K1329" s="18"/>
      <c r="L1329" s="18"/>
      <c r="M1329" s="20"/>
      <c r="N1329" s="37">
        <f t="shared" si="62"/>
        <v>0</v>
      </c>
      <c r="O1329" s="21">
        <v>4.125</v>
      </c>
      <c r="P1329" s="22">
        <v>1.487E-2</v>
      </c>
    </row>
    <row r="1330" spans="1:16" s="1" customFormat="1" ht="119.1" customHeight="1" outlineLevel="3" x14ac:dyDescent="0.2">
      <c r="A1330" s="11">
        <v>183820</v>
      </c>
      <c r="B1330" s="12" t="s">
        <v>2553</v>
      </c>
      <c r="C1330" s="12" t="s">
        <v>22</v>
      </c>
      <c r="D1330" s="13"/>
      <c r="E1330" s="14" t="s">
        <v>2554</v>
      </c>
      <c r="F1330" s="15" t="s">
        <v>24</v>
      </c>
      <c r="G1330" s="16"/>
      <c r="H1330" s="36">
        <v>132.80000000000001</v>
      </c>
      <c r="I1330" s="36">
        <f>ROUND(H1330-(H1330*I2/100),2)</f>
        <v>132.80000000000001</v>
      </c>
      <c r="J1330" s="17">
        <v>347</v>
      </c>
      <c r="K1330" s="18"/>
      <c r="L1330" s="18"/>
      <c r="M1330" s="20"/>
      <c r="N1330" s="37">
        <f t="shared" si="62"/>
        <v>0</v>
      </c>
      <c r="O1330" s="21">
        <v>6.9000000000000006E-2</v>
      </c>
      <c r="P1330" s="22">
        <v>8.5300000000000003E-4</v>
      </c>
    </row>
    <row r="1331" spans="1:16" s="1" customFormat="1" ht="119.1" customHeight="1" outlineLevel="3" x14ac:dyDescent="0.2">
      <c r="A1331" s="11">
        <v>212550</v>
      </c>
      <c r="B1331" s="12" t="s">
        <v>2555</v>
      </c>
      <c r="C1331" s="12" t="s">
        <v>22</v>
      </c>
      <c r="D1331" s="13"/>
      <c r="E1331" s="14" t="s">
        <v>2556</v>
      </c>
      <c r="F1331" s="15" t="s">
        <v>24</v>
      </c>
      <c r="G1331" s="16"/>
      <c r="H1331" s="36">
        <v>3010.7</v>
      </c>
      <c r="I1331" s="36">
        <f>ROUND(H1331-(H1331*I2/100),2)</f>
        <v>3010.7</v>
      </c>
      <c r="J1331" s="17">
        <v>1</v>
      </c>
      <c r="K1331" s="18"/>
      <c r="L1331" s="18"/>
      <c r="M1331" s="20"/>
      <c r="N1331" s="37">
        <f t="shared" si="62"/>
        <v>0</v>
      </c>
      <c r="O1331" s="21">
        <v>1.133</v>
      </c>
      <c r="P1331" s="22">
        <v>2.5110000000000002E-3</v>
      </c>
    </row>
    <row r="1332" spans="1:16" s="1" customFormat="1" ht="119.1" customHeight="1" outlineLevel="3" x14ac:dyDescent="0.2">
      <c r="A1332" s="11">
        <v>216160</v>
      </c>
      <c r="B1332" s="12" t="s">
        <v>2557</v>
      </c>
      <c r="C1332" s="12" t="s">
        <v>22</v>
      </c>
      <c r="D1332" s="13"/>
      <c r="E1332" s="14" t="s">
        <v>2558</v>
      </c>
      <c r="F1332" s="15" t="s">
        <v>24</v>
      </c>
      <c r="G1332" s="16"/>
      <c r="H1332" s="36">
        <v>2848.7</v>
      </c>
      <c r="I1332" s="36">
        <f>ROUND(H1332-(H1332*I2/100),2)</f>
        <v>2848.7</v>
      </c>
      <c r="J1332" s="17">
        <v>32</v>
      </c>
      <c r="K1332" s="18"/>
      <c r="L1332" s="18"/>
      <c r="M1332" s="20"/>
      <c r="N1332" s="37">
        <f t="shared" si="62"/>
        <v>0</v>
      </c>
      <c r="O1332" s="21">
        <v>1.56</v>
      </c>
      <c r="P1332" s="22">
        <v>2.6879999999999999E-3</v>
      </c>
    </row>
    <row r="1333" spans="1:16" s="1" customFormat="1" ht="119.1" customHeight="1" outlineLevel="3" x14ac:dyDescent="0.2">
      <c r="A1333" s="11">
        <v>215012</v>
      </c>
      <c r="B1333" s="12" t="s">
        <v>2559</v>
      </c>
      <c r="C1333" s="12" t="s">
        <v>22</v>
      </c>
      <c r="D1333" s="13"/>
      <c r="E1333" s="14" t="s">
        <v>2560</v>
      </c>
      <c r="F1333" s="15" t="s">
        <v>24</v>
      </c>
      <c r="G1333" s="16"/>
      <c r="H1333" s="36">
        <v>6064.1</v>
      </c>
      <c r="I1333" s="36">
        <f>ROUND(H1333-(H1333*I2/100),2)</f>
        <v>6064.1</v>
      </c>
      <c r="J1333" s="17">
        <v>35</v>
      </c>
      <c r="K1333" s="18"/>
      <c r="L1333" s="18"/>
      <c r="M1333" s="20"/>
      <c r="N1333" s="37">
        <f t="shared" si="62"/>
        <v>0</v>
      </c>
      <c r="O1333" s="21">
        <v>2</v>
      </c>
      <c r="P1333" s="22">
        <v>1E-3</v>
      </c>
    </row>
    <row r="1334" spans="1:16" s="8" customFormat="1" ht="15.95" customHeight="1" outlineLevel="2" x14ac:dyDescent="0.25">
      <c r="A1334" s="9"/>
      <c r="B1334" s="10"/>
      <c r="C1334" s="10"/>
      <c r="D1334" s="10" t="s">
        <v>2561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</row>
    <row r="1335" spans="1:16" s="1" customFormat="1" ht="119.1" customHeight="1" outlineLevel="3" x14ac:dyDescent="0.2">
      <c r="A1335" s="11">
        <v>208668</v>
      </c>
      <c r="B1335" s="12" t="s">
        <v>2562</v>
      </c>
      <c r="C1335" s="12" t="s">
        <v>22</v>
      </c>
      <c r="D1335" s="13"/>
      <c r="E1335" s="14" t="s">
        <v>2563</v>
      </c>
      <c r="F1335" s="15" t="s">
        <v>24</v>
      </c>
      <c r="G1335" s="16"/>
      <c r="H1335" s="36">
        <v>8145.6</v>
      </c>
      <c r="I1335" s="36">
        <f>ROUND(H1335-(H1335*I2/100),2)</f>
        <v>8145.6</v>
      </c>
      <c r="J1335" s="17">
        <v>20</v>
      </c>
      <c r="K1335" s="18"/>
      <c r="L1335" s="18"/>
      <c r="M1335" s="20"/>
      <c r="N1335" s="37">
        <f t="shared" ref="N1335:N1355" si="63">I1335*M1335</f>
        <v>0</v>
      </c>
      <c r="O1335" s="21">
        <v>2.44</v>
      </c>
      <c r="P1335" s="22">
        <v>8.0000000000000002E-3</v>
      </c>
    </row>
    <row r="1336" spans="1:16" s="1" customFormat="1" ht="119.1" customHeight="1" outlineLevel="3" x14ac:dyDescent="0.2">
      <c r="A1336" s="11">
        <v>210052</v>
      </c>
      <c r="B1336" s="12" t="s">
        <v>2564</v>
      </c>
      <c r="C1336" s="12" t="s">
        <v>22</v>
      </c>
      <c r="D1336" s="13"/>
      <c r="E1336" s="14" t="s">
        <v>2565</v>
      </c>
      <c r="F1336" s="15" t="s">
        <v>24</v>
      </c>
      <c r="G1336" s="16"/>
      <c r="H1336" s="36">
        <v>28715</v>
      </c>
      <c r="I1336" s="36">
        <f>ROUND(H1336-(H1336*I2/100),2)</f>
        <v>28715</v>
      </c>
      <c r="J1336" s="17">
        <v>31</v>
      </c>
      <c r="K1336" s="18"/>
      <c r="L1336" s="18"/>
      <c r="M1336" s="20"/>
      <c r="N1336" s="37">
        <f t="shared" si="63"/>
        <v>0</v>
      </c>
      <c r="O1336" s="21">
        <v>8.25</v>
      </c>
      <c r="P1336" s="22">
        <v>1.436E-2</v>
      </c>
    </row>
    <row r="1337" spans="1:16" s="1" customFormat="1" ht="119.1" customHeight="1" outlineLevel="3" x14ac:dyDescent="0.2">
      <c r="A1337" s="11">
        <v>210051</v>
      </c>
      <c r="B1337" s="12" t="s">
        <v>2566</v>
      </c>
      <c r="C1337" s="12" t="s">
        <v>22</v>
      </c>
      <c r="D1337" s="13"/>
      <c r="E1337" s="14" t="s">
        <v>2567</v>
      </c>
      <c r="F1337" s="15" t="s">
        <v>24</v>
      </c>
      <c r="G1337" s="16"/>
      <c r="H1337" s="36">
        <v>19549.400000000001</v>
      </c>
      <c r="I1337" s="36">
        <f>ROUND(H1337-(H1337*I2/100),2)</f>
        <v>19549.400000000001</v>
      </c>
      <c r="J1337" s="17">
        <v>90</v>
      </c>
      <c r="K1337" s="18"/>
      <c r="L1337" s="18"/>
      <c r="M1337" s="20"/>
      <c r="N1337" s="37">
        <f t="shared" si="63"/>
        <v>0</v>
      </c>
      <c r="O1337" s="21">
        <v>5.2750000000000004</v>
      </c>
      <c r="P1337" s="22">
        <v>5.8999999999999999E-3</v>
      </c>
    </row>
    <row r="1338" spans="1:16" s="1" customFormat="1" ht="119.1" customHeight="1" outlineLevel="3" x14ac:dyDescent="0.2">
      <c r="A1338" s="11">
        <v>205464</v>
      </c>
      <c r="B1338" s="12" t="s">
        <v>2568</v>
      </c>
      <c r="C1338" s="12" t="s">
        <v>22</v>
      </c>
      <c r="D1338" s="13"/>
      <c r="E1338" s="14" t="s">
        <v>2569</v>
      </c>
      <c r="F1338" s="15" t="s">
        <v>24</v>
      </c>
      <c r="G1338" s="16"/>
      <c r="H1338" s="36">
        <v>8825.2000000000007</v>
      </c>
      <c r="I1338" s="36">
        <f>ROUND(H1338-(H1338*I2/100),2)</f>
        <v>8825.2000000000007</v>
      </c>
      <c r="J1338" s="17">
        <v>76</v>
      </c>
      <c r="K1338" s="18"/>
      <c r="L1338" s="18"/>
      <c r="M1338" s="20"/>
      <c r="N1338" s="37">
        <f t="shared" si="63"/>
        <v>0</v>
      </c>
      <c r="O1338" s="21">
        <v>3.3</v>
      </c>
      <c r="P1338" s="22">
        <v>1.1424E-2</v>
      </c>
    </row>
    <row r="1339" spans="1:16" s="1" customFormat="1" ht="119.1" customHeight="1" outlineLevel="3" x14ac:dyDescent="0.2">
      <c r="A1339" s="11">
        <v>205695</v>
      </c>
      <c r="B1339" s="12" t="s">
        <v>2570</v>
      </c>
      <c r="C1339" s="12" t="s">
        <v>22</v>
      </c>
      <c r="D1339" s="13"/>
      <c r="E1339" s="14" t="s">
        <v>2571</v>
      </c>
      <c r="F1339" s="15" t="s">
        <v>24</v>
      </c>
      <c r="G1339" s="16"/>
      <c r="H1339" s="36">
        <v>11065</v>
      </c>
      <c r="I1339" s="36">
        <f>ROUND(H1339-(H1339*I2/100),2)</f>
        <v>11065</v>
      </c>
      <c r="J1339" s="17">
        <v>8</v>
      </c>
      <c r="K1339" s="18"/>
      <c r="L1339" s="18"/>
      <c r="M1339" s="20"/>
      <c r="N1339" s="37">
        <f t="shared" si="63"/>
        <v>0</v>
      </c>
      <c r="O1339" s="21">
        <v>2.5</v>
      </c>
      <c r="P1339" s="22">
        <v>2E-3</v>
      </c>
    </row>
    <row r="1340" spans="1:16" s="1" customFormat="1" ht="119.1" customHeight="1" outlineLevel="3" x14ac:dyDescent="0.2">
      <c r="A1340" s="11">
        <v>208894</v>
      </c>
      <c r="B1340" s="12" t="s">
        <v>2572</v>
      </c>
      <c r="C1340" s="12" t="s">
        <v>22</v>
      </c>
      <c r="D1340" s="13"/>
      <c r="E1340" s="14" t="s">
        <v>2573</v>
      </c>
      <c r="F1340" s="15" t="s">
        <v>24</v>
      </c>
      <c r="G1340" s="16"/>
      <c r="H1340" s="36">
        <v>9592.5</v>
      </c>
      <c r="I1340" s="36">
        <f>ROUND(H1340-(H1340*I2/100),2)</f>
        <v>9592.5</v>
      </c>
      <c r="J1340" s="17">
        <v>27</v>
      </c>
      <c r="K1340" s="18"/>
      <c r="L1340" s="18"/>
      <c r="M1340" s="20"/>
      <c r="N1340" s="37">
        <f t="shared" si="63"/>
        <v>0</v>
      </c>
      <c r="O1340" s="21">
        <v>3.3</v>
      </c>
      <c r="P1340" s="22">
        <v>1.5599999999999999E-2</v>
      </c>
    </row>
    <row r="1341" spans="1:16" s="1" customFormat="1" ht="119.1" customHeight="1" outlineLevel="3" x14ac:dyDescent="0.2">
      <c r="A1341" s="11">
        <v>198493</v>
      </c>
      <c r="B1341" s="12" t="s">
        <v>2574</v>
      </c>
      <c r="C1341" s="12" t="s">
        <v>22</v>
      </c>
      <c r="D1341" s="13"/>
      <c r="E1341" s="14" t="s">
        <v>2575</v>
      </c>
      <c r="F1341" s="15" t="s">
        <v>24</v>
      </c>
      <c r="G1341" s="16"/>
      <c r="H1341" s="36">
        <v>5325.2</v>
      </c>
      <c r="I1341" s="36">
        <f>ROUND(H1341-(H1341*I2/100),2)</f>
        <v>5325.2</v>
      </c>
      <c r="J1341" s="17">
        <v>59</v>
      </c>
      <c r="K1341" s="18"/>
      <c r="L1341" s="18"/>
      <c r="M1341" s="20"/>
      <c r="N1341" s="37">
        <f t="shared" si="63"/>
        <v>0</v>
      </c>
      <c r="O1341" s="21">
        <v>2.2999999999999998</v>
      </c>
      <c r="P1341" s="22">
        <v>6.2519999999999997E-3</v>
      </c>
    </row>
    <row r="1342" spans="1:16" s="1" customFormat="1" ht="119.1" customHeight="1" outlineLevel="3" x14ac:dyDescent="0.2">
      <c r="A1342" s="11">
        <v>208890</v>
      </c>
      <c r="B1342" s="12" t="s">
        <v>2576</v>
      </c>
      <c r="C1342" s="12" t="s">
        <v>22</v>
      </c>
      <c r="D1342" s="13"/>
      <c r="E1342" s="14" t="s">
        <v>2577</v>
      </c>
      <c r="F1342" s="15" t="s">
        <v>24</v>
      </c>
      <c r="G1342" s="16"/>
      <c r="H1342" s="36">
        <v>3400.6</v>
      </c>
      <c r="I1342" s="36">
        <f>ROUND(H1342-(H1342*I2/100),2)</f>
        <v>3400.6</v>
      </c>
      <c r="J1342" s="17">
        <v>25</v>
      </c>
      <c r="K1342" s="18"/>
      <c r="L1342" s="18"/>
      <c r="M1342" s="20"/>
      <c r="N1342" s="37">
        <f t="shared" si="63"/>
        <v>0</v>
      </c>
      <c r="O1342" s="21">
        <v>1.2</v>
      </c>
      <c r="P1342" s="22">
        <v>2.836E-3</v>
      </c>
    </row>
    <row r="1343" spans="1:16" s="1" customFormat="1" ht="119.1" customHeight="1" outlineLevel="3" x14ac:dyDescent="0.2">
      <c r="A1343" s="11">
        <v>208670</v>
      </c>
      <c r="B1343" s="12" t="s">
        <v>2578</v>
      </c>
      <c r="C1343" s="12" t="s">
        <v>22</v>
      </c>
      <c r="D1343" s="13"/>
      <c r="E1343" s="14" t="s">
        <v>2579</v>
      </c>
      <c r="F1343" s="15" t="s">
        <v>24</v>
      </c>
      <c r="G1343" s="16"/>
      <c r="H1343" s="36">
        <v>5545.3</v>
      </c>
      <c r="I1343" s="36">
        <f>ROUND(H1343-(H1343*I2/100),2)</f>
        <v>5545.3</v>
      </c>
      <c r="J1343" s="17">
        <v>121</v>
      </c>
      <c r="K1343" s="18"/>
      <c r="L1343" s="18"/>
      <c r="M1343" s="20"/>
      <c r="N1343" s="37">
        <f t="shared" si="63"/>
        <v>0</v>
      </c>
      <c r="O1343" s="21">
        <v>2.1800000000000002</v>
      </c>
      <c r="P1343" s="22">
        <v>5.4559999999999999E-3</v>
      </c>
    </row>
    <row r="1344" spans="1:16" s="1" customFormat="1" ht="119.1" customHeight="1" outlineLevel="3" x14ac:dyDescent="0.2">
      <c r="A1344" s="11">
        <v>208892</v>
      </c>
      <c r="B1344" s="12" t="s">
        <v>2580</v>
      </c>
      <c r="C1344" s="12" t="s">
        <v>22</v>
      </c>
      <c r="D1344" s="28"/>
      <c r="E1344" s="29" t="s">
        <v>2581</v>
      </c>
      <c r="F1344" s="30" t="s">
        <v>24</v>
      </c>
      <c r="G1344" s="31" t="s">
        <v>209</v>
      </c>
      <c r="H1344" s="36">
        <v>8355.7999999999993</v>
      </c>
      <c r="I1344" s="36">
        <f>ROUND(H1344-(H1344*I2/100),2)</f>
        <v>8355.7999999999993</v>
      </c>
      <c r="J1344" s="17">
        <v>7</v>
      </c>
      <c r="K1344" s="18"/>
      <c r="L1344" s="18"/>
      <c r="M1344" s="20"/>
      <c r="N1344" s="37">
        <f t="shared" si="63"/>
        <v>0</v>
      </c>
      <c r="O1344" s="21">
        <v>2.9</v>
      </c>
      <c r="P1344" s="22">
        <v>9.1800000000000007E-3</v>
      </c>
    </row>
    <row r="1345" spans="1:16" s="1" customFormat="1" ht="119.1" customHeight="1" outlineLevel="3" x14ac:dyDescent="0.2">
      <c r="A1345" s="11">
        <v>208671</v>
      </c>
      <c r="B1345" s="12" t="s">
        <v>2582</v>
      </c>
      <c r="C1345" s="12" t="s">
        <v>22</v>
      </c>
      <c r="D1345" s="13"/>
      <c r="E1345" s="14" t="s">
        <v>2583</v>
      </c>
      <c r="F1345" s="15" t="s">
        <v>24</v>
      </c>
      <c r="G1345" s="16"/>
      <c r="H1345" s="36">
        <v>4079</v>
      </c>
      <c r="I1345" s="36">
        <f>ROUND(H1345-(H1345*I2/100),2)</f>
        <v>4079</v>
      </c>
      <c r="J1345" s="17">
        <v>221</v>
      </c>
      <c r="K1345" s="18"/>
      <c r="L1345" s="18"/>
      <c r="M1345" s="20"/>
      <c r="N1345" s="37">
        <f t="shared" si="63"/>
        <v>0</v>
      </c>
      <c r="O1345" s="21">
        <v>1.24</v>
      </c>
      <c r="P1345" s="22">
        <v>5.0000000000000001E-3</v>
      </c>
    </row>
    <row r="1346" spans="1:16" s="1" customFormat="1" ht="119.1" customHeight="1" outlineLevel="3" x14ac:dyDescent="0.2">
      <c r="A1346" s="11">
        <v>208901</v>
      </c>
      <c r="B1346" s="12" t="s">
        <v>2584</v>
      </c>
      <c r="C1346" s="12" t="s">
        <v>22</v>
      </c>
      <c r="D1346" s="13"/>
      <c r="E1346" s="14" t="s">
        <v>2585</v>
      </c>
      <c r="F1346" s="15" t="s">
        <v>24</v>
      </c>
      <c r="G1346" s="16"/>
      <c r="H1346" s="36">
        <v>8533.2999999999993</v>
      </c>
      <c r="I1346" s="36">
        <f>ROUND(H1346-(H1346*I2/100),2)</f>
        <v>8533.2999999999993</v>
      </c>
      <c r="J1346" s="17">
        <v>116</v>
      </c>
      <c r="K1346" s="18"/>
      <c r="L1346" s="18"/>
      <c r="M1346" s="20"/>
      <c r="N1346" s="37">
        <f t="shared" si="63"/>
        <v>0</v>
      </c>
      <c r="O1346" s="21">
        <v>2.34</v>
      </c>
      <c r="P1346" s="22">
        <v>8.0000000000000002E-3</v>
      </c>
    </row>
    <row r="1347" spans="1:16" s="1" customFormat="1" ht="119.1" customHeight="1" outlineLevel="3" x14ac:dyDescent="0.2">
      <c r="A1347" s="11">
        <v>208891</v>
      </c>
      <c r="B1347" s="12" t="s">
        <v>2586</v>
      </c>
      <c r="C1347" s="12" t="s">
        <v>22</v>
      </c>
      <c r="D1347" s="13"/>
      <c r="E1347" s="14" t="s">
        <v>2587</v>
      </c>
      <c r="F1347" s="15" t="s">
        <v>24</v>
      </c>
      <c r="G1347" s="16"/>
      <c r="H1347" s="36">
        <v>7506.8</v>
      </c>
      <c r="I1347" s="36">
        <f>ROUND(H1347-(H1347*I2/100),2)</f>
        <v>7506.8</v>
      </c>
      <c r="J1347" s="17">
        <v>57</v>
      </c>
      <c r="K1347" s="18"/>
      <c r="L1347" s="18"/>
      <c r="M1347" s="20"/>
      <c r="N1347" s="37">
        <f t="shared" si="63"/>
        <v>0</v>
      </c>
      <c r="O1347" s="21">
        <v>3.16</v>
      </c>
      <c r="P1347" s="22">
        <v>8.4150000000000006E-3</v>
      </c>
    </row>
    <row r="1348" spans="1:16" s="1" customFormat="1" ht="119.1" customHeight="1" outlineLevel="3" x14ac:dyDescent="0.2">
      <c r="A1348" s="11">
        <v>208661</v>
      </c>
      <c r="B1348" s="12" t="s">
        <v>2588</v>
      </c>
      <c r="C1348" s="12" t="s">
        <v>22</v>
      </c>
      <c r="D1348" s="13"/>
      <c r="E1348" s="14" t="s">
        <v>2589</v>
      </c>
      <c r="F1348" s="15" t="s">
        <v>24</v>
      </c>
      <c r="G1348" s="16"/>
      <c r="H1348" s="36">
        <v>9515.4</v>
      </c>
      <c r="I1348" s="36">
        <f>ROUND(H1348-(H1348*I2/100),2)</f>
        <v>9515.4</v>
      </c>
      <c r="J1348" s="17">
        <v>20</v>
      </c>
      <c r="K1348" s="18"/>
      <c r="L1348" s="18"/>
      <c r="M1348" s="20"/>
      <c r="N1348" s="37">
        <f t="shared" si="63"/>
        <v>0</v>
      </c>
      <c r="O1348" s="21">
        <v>1.5</v>
      </c>
      <c r="P1348" s="22">
        <v>2E-3</v>
      </c>
    </row>
    <row r="1349" spans="1:16" s="1" customFormat="1" ht="119.1" customHeight="1" outlineLevel="3" x14ac:dyDescent="0.2">
      <c r="A1349" s="11">
        <v>206790</v>
      </c>
      <c r="B1349" s="12" t="s">
        <v>2590</v>
      </c>
      <c r="C1349" s="12" t="s">
        <v>22</v>
      </c>
      <c r="D1349" s="13"/>
      <c r="E1349" s="14" t="s">
        <v>2591</v>
      </c>
      <c r="F1349" s="15" t="s">
        <v>24</v>
      </c>
      <c r="G1349" s="16"/>
      <c r="H1349" s="36">
        <v>4576.7</v>
      </c>
      <c r="I1349" s="36">
        <f>ROUND(H1349-(H1349*I2/100),2)</f>
        <v>4576.7</v>
      </c>
      <c r="J1349" s="17">
        <v>215</v>
      </c>
      <c r="K1349" s="18"/>
      <c r="L1349" s="18"/>
      <c r="M1349" s="20"/>
      <c r="N1349" s="37">
        <f t="shared" si="63"/>
        <v>0</v>
      </c>
      <c r="O1349" s="21">
        <v>1.5</v>
      </c>
      <c r="P1349" s="22">
        <v>5.0000000000000001E-3</v>
      </c>
    </row>
    <row r="1350" spans="1:16" s="1" customFormat="1" ht="119.1" customHeight="1" outlineLevel="3" x14ac:dyDescent="0.2">
      <c r="A1350" s="11">
        <v>208893</v>
      </c>
      <c r="B1350" s="12" t="s">
        <v>2592</v>
      </c>
      <c r="C1350" s="12" t="s">
        <v>22</v>
      </c>
      <c r="D1350" s="13"/>
      <c r="E1350" s="14" t="s">
        <v>2593</v>
      </c>
      <c r="F1350" s="15" t="s">
        <v>24</v>
      </c>
      <c r="G1350" s="16"/>
      <c r="H1350" s="36">
        <v>14157.7</v>
      </c>
      <c r="I1350" s="36">
        <f>ROUND(H1350-(H1350*I2/100),2)</f>
        <v>14157.7</v>
      </c>
      <c r="J1350" s="17">
        <v>120</v>
      </c>
      <c r="K1350" s="18"/>
      <c r="L1350" s="18"/>
      <c r="M1350" s="20"/>
      <c r="N1350" s="37">
        <f t="shared" si="63"/>
        <v>0</v>
      </c>
      <c r="O1350" s="21">
        <v>4.42</v>
      </c>
      <c r="P1350" s="22">
        <v>1.5599999999999999E-2</v>
      </c>
    </row>
    <row r="1351" spans="1:16" s="1" customFormat="1" ht="119.1" customHeight="1" outlineLevel="3" x14ac:dyDescent="0.2">
      <c r="A1351" s="11">
        <v>210050</v>
      </c>
      <c r="B1351" s="12" t="s">
        <v>2594</v>
      </c>
      <c r="C1351" s="12" t="s">
        <v>22</v>
      </c>
      <c r="D1351" s="13"/>
      <c r="E1351" s="14" t="s">
        <v>2595</v>
      </c>
      <c r="F1351" s="15" t="s">
        <v>24</v>
      </c>
      <c r="G1351" s="16"/>
      <c r="H1351" s="36">
        <v>14272.5</v>
      </c>
      <c r="I1351" s="36">
        <f>ROUND(H1351-(H1351*I2/100),2)</f>
        <v>14272.5</v>
      </c>
      <c r="J1351" s="17">
        <v>10</v>
      </c>
      <c r="K1351" s="18"/>
      <c r="L1351" s="18"/>
      <c r="M1351" s="20"/>
      <c r="N1351" s="37">
        <f t="shared" si="63"/>
        <v>0</v>
      </c>
      <c r="O1351" s="21">
        <v>4.4000000000000004</v>
      </c>
      <c r="P1351" s="22">
        <v>4.0039999999999999E-2</v>
      </c>
    </row>
    <row r="1352" spans="1:16" s="1" customFormat="1" ht="119.1" customHeight="1" outlineLevel="3" x14ac:dyDescent="0.2">
      <c r="A1352" s="11">
        <v>210049</v>
      </c>
      <c r="B1352" s="12" t="s">
        <v>2596</v>
      </c>
      <c r="C1352" s="12" t="s">
        <v>22</v>
      </c>
      <c r="D1352" s="13"/>
      <c r="E1352" s="14" t="s">
        <v>2597</v>
      </c>
      <c r="F1352" s="15" t="s">
        <v>24</v>
      </c>
      <c r="G1352" s="16"/>
      <c r="H1352" s="36">
        <v>6318</v>
      </c>
      <c r="I1352" s="36">
        <f>ROUND(H1352-(H1352*I2/100),2)</f>
        <v>6318</v>
      </c>
      <c r="J1352" s="17">
        <v>42</v>
      </c>
      <c r="K1352" s="18"/>
      <c r="L1352" s="18"/>
      <c r="M1352" s="20"/>
      <c r="N1352" s="37">
        <f t="shared" si="63"/>
        <v>0</v>
      </c>
      <c r="O1352" s="21">
        <v>1.78</v>
      </c>
      <c r="P1352" s="22">
        <v>1.924E-2</v>
      </c>
    </row>
    <row r="1353" spans="1:16" s="1" customFormat="1" ht="119.1" customHeight="1" outlineLevel="3" x14ac:dyDescent="0.2">
      <c r="A1353" s="11">
        <v>208242</v>
      </c>
      <c r="B1353" s="12" t="s">
        <v>2598</v>
      </c>
      <c r="C1353" s="12" t="s">
        <v>22</v>
      </c>
      <c r="D1353" s="13"/>
      <c r="E1353" s="14" t="s">
        <v>2599</v>
      </c>
      <c r="F1353" s="15" t="s">
        <v>24</v>
      </c>
      <c r="G1353" s="16"/>
      <c r="H1353" s="36">
        <v>7984</v>
      </c>
      <c r="I1353" s="36">
        <f>ROUND(H1353-(H1353*I2/100),2)</f>
        <v>7984</v>
      </c>
      <c r="J1353" s="17">
        <v>13</v>
      </c>
      <c r="K1353" s="18"/>
      <c r="L1353" s="18"/>
      <c r="M1353" s="20"/>
      <c r="N1353" s="37">
        <f t="shared" si="63"/>
        <v>0</v>
      </c>
      <c r="O1353" s="21">
        <v>2.5</v>
      </c>
      <c r="P1353" s="22">
        <v>1.2149999999999999E-2</v>
      </c>
    </row>
    <row r="1354" spans="1:16" s="1" customFormat="1" ht="119.1" customHeight="1" outlineLevel="3" x14ac:dyDescent="0.2">
      <c r="A1354" s="11">
        <v>210056</v>
      </c>
      <c r="B1354" s="12" t="s">
        <v>2600</v>
      </c>
      <c r="C1354" s="12" t="s">
        <v>22</v>
      </c>
      <c r="D1354" s="13"/>
      <c r="E1354" s="14" t="s">
        <v>2601</v>
      </c>
      <c r="F1354" s="15" t="s">
        <v>24</v>
      </c>
      <c r="G1354" s="16"/>
      <c r="H1354" s="36">
        <v>7915.4</v>
      </c>
      <c r="I1354" s="36">
        <f>ROUND(H1354-(H1354*I2/100),2)</f>
        <v>7915.4</v>
      </c>
      <c r="J1354" s="17">
        <v>168</v>
      </c>
      <c r="K1354" s="18"/>
      <c r="L1354" s="18"/>
      <c r="M1354" s="20"/>
      <c r="N1354" s="37">
        <f t="shared" si="63"/>
        <v>0</v>
      </c>
      <c r="O1354" s="21">
        <v>3.375</v>
      </c>
      <c r="P1354" s="22">
        <v>6.9940000000000002E-2</v>
      </c>
    </row>
    <row r="1355" spans="1:16" s="1" customFormat="1" ht="119.1" customHeight="1" outlineLevel="3" x14ac:dyDescent="0.2">
      <c r="A1355" s="11">
        <v>219308</v>
      </c>
      <c r="B1355" s="12" t="s">
        <v>2602</v>
      </c>
      <c r="C1355" s="12" t="s">
        <v>50</v>
      </c>
      <c r="D1355" s="13"/>
      <c r="E1355" s="14" t="s">
        <v>2603</v>
      </c>
      <c r="F1355" s="15" t="s">
        <v>24</v>
      </c>
      <c r="G1355" s="16"/>
      <c r="H1355" s="36">
        <v>4284.3999999999996</v>
      </c>
      <c r="I1355" s="36">
        <f>ROUND(H1355-(H1355*I2/100),2)</f>
        <v>4284.3999999999996</v>
      </c>
      <c r="J1355" s="17">
        <v>151</v>
      </c>
      <c r="K1355" s="18"/>
      <c r="L1355" s="18"/>
      <c r="M1355" s="20"/>
      <c r="N1355" s="37">
        <f t="shared" si="63"/>
        <v>0</v>
      </c>
      <c r="O1355" s="21">
        <v>1.94</v>
      </c>
      <c r="P1355" s="22">
        <v>5.0070000000000002E-3</v>
      </c>
    </row>
    <row r="1356" spans="1:16" s="8" customFormat="1" ht="15.95" customHeight="1" outlineLevel="2" x14ac:dyDescent="0.25">
      <c r="A1356" s="9"/>
      <c r="B1356" s="10"/>
      <c r="C1356" s="10"/>
      <c r="D1356" s="10" t="s">
        <v>2604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</row>
    <row r="1357" spans="1:16" s="1" customFormat="1" ht="119.1" customHeight="1" outlineLevel="3" x14ac:dyDescent="0.2">
      <c r="A1357" s="11">
        <v>214983</v>
      </c>
      <c r="B1357" s="12" t="s">
        <v>2605</v>
      </c>
      <c r="C1357" s="12" t="s">
        <v>22</v>
      </c>
      <c r="D1357" s="13"/>
      <c r="E1357" s="14" t="s">
        <v>2606</v>
      </c>
      <c r="F1357" s="15" t="s">
        <v>24</v>
      </c>
      <c r="G1357" s="16"/>
      <c r="H1357" s="36">
        <v>33561.599999999999</v>
      </c>
      <c r="I1357" s="36">
        <f>ROUND(H1357-(H1357*I2/100),2)</f>
        <v>33561.599999999999</v>
      </c>
      <c r="J1357" s="17">
        <v>5</v>
      </c>
      <c r="K1357" s="18"/>
      <c r="L1357" s="18"/>
      <c r="M1357" s="20"/>
      <c r="N1357" s="37">
        <f>I1357*M1357</f>
        <v>0</v>
      </c>
      <c r="O1357" s="21">
        <v>18</v>
      </c>
      <c r="P1357" s="22">
        <v>0.24299999999999999</v>
      </c>
    </row>
    <row r="1358" spans="1:16" s="1" customFormat="1" ht="119.1" customHeight="1" outlineLevel="3" x14ac:dyDescent="0.2">
      <c r="A1358" s="11">
        <v>214982</v>
      </c>
      <c r="B1358" s="12" t="s">
        <v>2607</v>
      </c>
      <c r="C1358" s="12" t="s">
        <v>22</v>
      </c>
      <c r="D1358" s="13"/>
      <c r="E1358" s="14" t="s">
        <v>2608</v>
      </c>
      <c r="F1358" s="15" t="s">
        <v>24</v>
      </c>
      <c r="G1358" s="16"/>
      <c r="H1358" s="36">
        <v>30916</v>
      </c>
      <c r="I1358" s="36">
        <f>ROUND(H1358-(H1358*I2/100),2)</f>
        <v>30916</v>
      </c>
      <c r="J1358" s="17">
        <v>5</v>
      </c>
      <c r="K1358" s="18"/>
      <c r="L1358" s="18"/>
      <c r="M1358" s="20"/>
      <c r="N1358" s="37">
        <f>I1358*M1358</f>
        <v>0</v>
      </c>
      <c r="O1358" s="21">
        <v>18</v>
      </c>
      <c r="P1358" s="22">
        <v>0.24299999999999999</v>
      </c>
    </row>
    <row r="1359" spans="1:16" s="1" customFormat="1" ht="119.1" customHeight="1" outlineLevel="3" x14ac:dyDescent="0.2">
      <c r="A1359" s="11">
        <v>198736</v>
      </c>
      <c r="B1359" s="12" t="s">
        <v>2609</v>
      </c>
      <c r="C1359" s="12" t="s">
        <v>22</v>
      </c>
      <c r="D1359" s="13"/>
      <c r="E1359" s="14" t="s">
        <v>2610</v>
      </c>
      <c r="F1359" s="15" t="s">
        <v>24</v>
      </c>
      <c r="G1359" s="16"/>
      <c r="H1359" s="36">
        <v>99</v>
      </c>
      <c r="I1359" s="36">
        <f>ROUND(H1359-(H1359*I2/100),2)</f>
        <v>99</v>
      </c>
      <c r="J1359" s="17">
        <v>42</v>
      </c>
      <c r="K1359" s="18"/>
      <c r="L1359" s="18"/>
      <c r="M1359" s="20"/>
      <c r="N1359" s="37">
        <f>I1359*M1359</f>
        <v>0</v>
      </c>
      <c r="O1359" s="21">
        <v>0.5</v>
      </c>
      <c r="P1359" s="22">
        <v>4.0000000000000002E-4</v>
      </c>
    </row>
    <row r="1360" spans="1:16" s="1" customFormat="1" ht="119.1" customHeight="1" outlineLevel="3" x14ac:dyDescent="0.2">
      <c r="A1360" s="11">
        <v>212479</v>
      </c>
      <c r="B1360" s="12" t="s">
        <v>2611</v>
      </c>
      <c r="C1360" s="12" t="s">
        <v>22</v>
      </c>
      <c r="D1360" s="13"/>
      <c r="E1360" s="14" t="s">
        <v>2612</v>
      </c>
      <c r="F1360" s="15" t="s">
        <v>113</v>
      </c>
      <c r="G1360" s="16"/>
      <c r="H1360" s="36">
        <v>584.70000000000005</v>
      </c>
      <c r="I1360" s="36">
        <f>ROUND(H1360-(H1360*I2/100),2)</f>
        <v>584.70000000000005</v>
      </c>
      <c r="J1360" s="17">
        <v>50</v>
      </c>
      <c r="K1360" s="18"/>
      <c r="L1360" s="18"/>
      <c r="M1360" s="20"/>
      <c r="N1360" s="37">
        <f>I1360*M1360</f>
        <v>0</v>
      </c>
      <c r="O1360" s="21">
        <v>0.6</v>
      </c>
      <c r="P1360" s="22">
        <v>2E-3</v>
      </c>
    </row>
    <row r="1361" spans="1:16" s="8" customFormat="1" ht="15.95" customHeight="1" x14ac:dyDescent="0.25">
      <c r="A1361" s="9"/>
      <c r="B1361" s="10"/>
      <c r="C1361" s="10"/>
      <c r="D1361" s="10" t="s">
        <v>2613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</row>
    <row r="1362" spans="1:16" s="8" customFormat="1" ht="15.95" customHeight="1" outlineLevel="1" x14ac:dyDescent="0.25">
      <c r="A1362" s="9"/>
      <c r="B1362" s="10"/>
      <c r="C1362" s="10"/>
      <c r="D1362" s="10" t="s">
        <v>2614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</row>
    <row r="1363" spans="1:16" s="1" customFormat="1" ht="119.1" customHeight="1" outlineLevel="2" x14ac:dyDescent="0.2">
      <c r="A1363" s="11">
        <v>219330</v>
      </c>
      <c r="B1363" s="12" t="s">
        <v>2615</v>
      </c>
      <c r="C1363" s="12" t="s">
        <v>50</v>
      </c>
      <c r="D1363" s="13"/>
      <c r="E1363" s="14" t="s">
        <v>2616</v>
      </c>
      <c r="F1363" s="15" t="s">
        <v>24</v>
      </c>
      <c r="G1363" s="16"/>
      <c r="H1363" s="36">
        <v>4808.6000000000004</v>
      </c>
      <c r="I1363" s="36">
        <f>ROUND(H1363-(H1363*I2/100),2)</f>
        <v>4808.6000000000004</v>
      </c>
      <c r="J1363" s="17">
        <v>59</v>
      </c>
      <c r="K1363" s="18"/>
      <c r="L1363" s="18"/>
      <c r="M1363" s="20"/>
      <c r="N1363" s="37">
        <f>I1363*M1363</f>
        <v>0</v>
      </c>
      <c r="O1363" s="21">
        <v>4</v>
      </c>
      <c r="P1363" s="22">
        <v>2.3488999999999999E-2</v>
      </c>
    </row>
    <row r="1364" spans="1:16" s="8" customFormat="1" ht="15.95" customHeight="1" x14ac:dyDescent="0.25">
      <c r="A1364" s="9"/>
      <c r="B1364" s="10"/>
      <c r="C1364" s="10"/>
      <c r="D1364" s="10" t="s">
        <v>2617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</row>
    <row r="1365" spans="1:16" s="8" customFormat="1" ht="15.95" customHeight="1" outlineLevel="1" x14ac:dyDescent="0.25">
      <c r="A1365" s="9"/>
      <c r="B1365" s="10"/>
      <c r="C1365" s="10"/>
      <c r="D1365" s="10" t="s">
        <v>2618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</row>
    <row r="1366" spans="1:16" s="8" customFormat="1" ht="15.95" customHeight="1" outlineLevel="2" x14ac:dyDescent="0.25">
      <c r="A1366" s="9"/>
      <c r="B1366" s="10"/>
      <c r="C1366" s="10"/>
      <c r="D1366" s="10" t="s">
        <v>2619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</row>
    <row r="1367" spans="1:16" s="8" customFormat="1" ht="15.95" customHeight="1" outlineLevel="3" x14ac:dyDescent="0.25">
      <c r="A1367" s="9"/>
      <c r="B1367" s="10"/>
      <c r="C1367" s="10"/>
      <c r="D1367" s="10" t="s">
        <v>2620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</row>
    <row r="1368" spans="1:16" s="1" customFormat="1" ht="119.1" customHeight="1" outlineLevel="4" x14ac:dyDescent="0.2">
      <c r="A1368" s="11">
        <v>216912</v>
      </c>
      <c r="B1368" s="12" t="s">
        <v>2621</v>
      </c>
      <c r="C1368" s="12" t="s">
        <v>50</v>
      </c>
      <c r="D1368" s="13"/>
      <c r="E1368" s="14" t="s">
        <v>2622</v>
      </c>
      <c r="F1368" s="15" t="s">
        <v>24</v>
      </c>
      <c r="G1368" s="16"/>
      <c r="H1368" s="36">
        <v>125.9</v>
      </c>
      <c r="I1368" s="36">
        <f>ROUND(H1368-(H1368*I2/100),2)</f>
        <v>125.9</v>
      </c>
      <c r="J1368" s="17">
        <v>90</v>
      </c>
      <c r="K1368" s="18"/>
      <c r="L1368" s="18"/>
      <c r="M1368" s="20"/>
      <c r="N1368" s="37">
        <f>I1368*M1368</f>
        <v>0</v>
      </c>
      <c r="O1368" s="21">
        <v>7.0000000000000007E-2</v>
      </c>
      <c r="P1368" s="22">
        <v>6.9300000000000004E-4</v>
      </c>
    </row>
    <row r="1369" spans="1:16" s="1" customFormat="1" ht="119.1" customHeight="1" outlineLevel="4" x14ac:dyDescent="0.2">
      <c r="A1369" s="11">
        <v>216913</v>
      </c>
      <c r="B1369" s="12" t="s">
        <v>2623</v>
      </c>
      <c r="C1369" s="12" t="s">
        <v>50</v>
      </c>
      <c r="D1369" s="13"/>
      <c r="E1369" s="14" t="s">
        <v>2624</v>
      </c>
      <c r="F1369" s="15" t="s">
        <v>24</v>
      </c>
      <c r="G1369" s="16"/>
      <c r="H1369" s="36">
        <v>100.2</v>
      </c>
      <c r="I1369" s="36">
        <f>ROUND(H1369-(H1369*I2/100),2)</f>
        <v>100.2</v>
      </c>
      <c r="J1369" s="17">
        <v>9</v>
      </c>
      <c r="K1369" s="18"/>
      <c r="L1369" s="18"/>
      <c r="M1369" s="20"/>
      <c r="N1369" s="37">
        <f>I1369*M1369</f>
        <v>0</v>
      </c>
      <c r="O1369" s="21">
        <v>6.5000000000000002E-2</v>
      </c>
      <c r="P1369" s="22">
        <v>6.9300000000000004E-4</v>
      </c>
    </row>
    <row r="1370" spans="1:16" s="1" customFormat="1" ht="119.1" customHeight="1" outlineLevel="4" x14ac:dyDescent="0.2">
      <c r="A1370" s="11">
        <v>216914</v>
      </c>
      <c r="B1370" s="12" t="s">
        <v>2625</v>
      </c>
      <c r="C1370" s="12" t="s">
        <v>50</v>
      </c>
      <c r="D1370" s="13"/>
      <c r="E1370" s="14" t="s">
        <v>2626</v>
      </c>
      <c r="F1370" s="15" t="s">
        <v>24</v>
      </c>
      <c r="G1370" s="16"/>
      <c r="H1370" s="36">
        <v>141.9</v>
      </c>
      <c r="I1370" s="36">
        <f>ROUND(H1370-(H1370*I2/100),2)</f>
        <v>141.9</v>
      </c>
      <c r="J1370" s="17">
        <v>96</v>
      </c>
      <c r="K1370" s="18"/>
      <c r="L1370" s="18"/>
      <c r="M1370" s="20"/>
      <c r="N1370" s="37">
        <f>I1370*M1370</f>
        <v>0</v>
      </c>
      <c r="O1370" s="21">
        <v>0.13300000000000001</v>
      </c>
      <c r="P1370" s="22">
        <v>6.9300000000000004E-4</v>
      </c>
    </row>
    <row r="1371" spans="1:16" s="8" customFormat="1" ht="15.95" customHeight="1" outlineLevel="1" x14ac:dyDescent="0.25">
      <c r="A1371" s="9"/>
      <c r="B1371" s="10"/>
      <c r="C1371" s="10"/>
      <c r="D1371" s="10" t="s">
        <v>2627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</row>
    <row r="1372" spans="1:16" s="8" customFormat="1" ht="15.95" customHeight="1" outlineLevel="2" x14ac:dyDescent="0.25">
      <c r="A1372" s="9"/>
      <c r="B1372" s="10"/>
      <c r="C1372" s="10"/>
      <c r="D1372" s="10" t="s">
        <v>2628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</row>
    <row r="1373" spans="1:16" s="1" customFormat="1" ht="119.1" customHeight="1" outlineLevel="3" x14ac:dyDescent="0.2">
      <c r="A1373" s="11">
        <v>216845</v>
      </c>
      <c r="B1373" s="12" t="s">
        <v>2629</v>
      </c>
      <c r="C1373" s="12" t="s">
        <v>50</v>
      </c>
      <c r="D1373" s="13"/>
      <c r="E1373" s="14" t="s">
        <v>2630</v>
      </c>
      <c r="F1373" s="15" t="s">
        <v>24</v>
      </c>
      <c r="G1373" s="16"/>
      <c r="H1373" s="36">
        <v>111.7</v>
      </c>
      <c r="I1373" s="36">
        <f>ROUND(H1373-(H1373*I2/100),2)</f>
        <v>111.7</v>
      </c>
      <c r="J1373" s="17">
        <v>150</v>
      </c>
      <c r="K1373" s="18"/>
      <c r="L1373" s="18"/>
      <c r="M1373" s="20"/>
      <c r="N1373" s="37">
        <f t="shared" ref="N1373:N1392" si="64">I1373*M1373</f>
        <v>0</v>
      </c>
      <c r="O1373" s="21">
        <v>8.7999999999999995E-2</v>
      </c>
      <c r="P1373" s="22">
        <v>3.6000000000000001E-5</v>
      </c>
    </row>
    <row r="1374" spans="1:16" s="1" customFormat="1" ht="119.1" customHeight="1" outlineLevel="3" x14ac:dyDescent="0.2">
      <c r="A1374" s="11">
        <v>216846</v>
      </c>
      <c r="B1374" s="12" t="s">
        <v>2631</v>
      </c>
      <c r="C1374" s="12" t="s">
        <v>50</v>
      </c>
      <c r="D1374" s="13"/>
      <c r="E1374" s="14" t="s">
        <v>2632</v>
      </c>
      <c r="F1374" s="15" t="s">
        <v>24</v>
      </c>
      <c r="G1374" s="16"/>
      <c r="H1374" s="36">
        <v>141</v>
      </c>
      <c r="I1374" s="36">
        <f>ROUND(H1374-(H1374*I2/100),2)</f>
        <v>141</v>
      </c>
      <c r="J1374" s="17">
        <v>146</v>
      </c>
      <c r="K1374" s="18"/>
      <c r="L1374" s="18"/>
      <c r="M1374" s="20"/>
      <c r="N1374" s="37">
        <f t="shared" si="64"/>
        <v>0</v>
      </c>
      <c r="O1374" s="21">
        <v>0.129</v>
      </c>
      <c r="P1374" s="22">
        <v>5.8E-5</v>
      </c>
    </row>
    <row r="1375" spans="1:16" s="1" customFormat="1" ht="119.1" customHeight="1" outlineLevel="3" x14ac:dyDescent="0.2">
      <c r="A1375" s="11">
        <v>216847</v>
      </c>
      <c r="B1375" s="12" t="s">
        <v>2633</v>
      </c>
      <c r="C1375" s="12" t="s">
        <v>50</v>
      </c>
      <c r="D1375" s="13"/>
      <c r="E1375" s="14" t="s">
        <v>2634</v>
      </c>
      <c r="F1375" s="15" t="s">
        <v>24</v>
      </c>
      <c r="G1375" s="16"/>
      <c r="H1375" s="36">
        <v>213.7</v>
      </c>
      <c r="I1375" s="36">
        <f>ROUND(H1375-(H1375*I2/100),2)</f>
        <v>213.7</v>
      </c>
      <c r="J1375" s="17">
        <v>22</v>
      </c>
      <c r="K1375" s="18"/>
      <c r="L1375" s="18"/>
      <c r="M1375" s="20"/>
      <c r="N1375" s="37">
        <f t="shared" si="64"/>
        <v>0</v>
      </c>
      <c r="O1375" s="21">
        <v>0.22500000000000001</v>
      </c>
      <c r="P1375" s="22">
        <v>9.2E-5</v>
      </c>
    </row>
    <row r="1376" spans="1:16" s="1" customFormat="1" ht="119.1" customHeight="1" outlineLevel="3" x14ac:dyDescent="0.2">
      <c r="A1376" s="11">
        <v>216849</v>
      </c>
      <c r="B1376" s="12" t="s">
        <v>2635</v>
      </c>
      <c r="C1376" s="12" t="s">
        <v>50</v>
      </c>
      <c r="D1376" s="13"/>
      <c r="E1376" s="14" t="s">
        <v>2636</v>
      </c>
      <c r="F1376" s="15" t="s">
        <v>24</v>
      </c>
      <c r="G1376" s="16"/>
      <c r="H1376" s="36">
        <v>491.6</v>
      </c>
      <c r="I1376" s="36">
        <f>ROUND(H1376-(H1376*I2/100),2)</f>
        <v>491.6</v>
      </c>
      <c r="J1376" s="17">
        <v>115</v>
      </c>
      <c r="K1376" s="18"/>
      <c r="L1376" s="18"/>
      <c r="M1376" s="20"/>
      <c r="N1376" s="37">
        <f t="shared" si="64"/>
        <v>0</v>
      </c>
      <c r="O1376" s="21">
        <v>0.625</v>
      </c>
      <c r="P1376" s="22">
        <v>2.6800000000000001E-4</v>
      </c>
    </row>
    <row r="1377" spans="1:16" s="1" customFormat="1" ht="119.1" customHeight="1" outlineLevel="3" x14ac:dyDescent="0.2">
      <c r="A1377" s="11">
        <v>216853</v>
      </c>
      <c r="B1377" s="12" t="s">
        <v>2637</v>
      </c>
      <c r="C1377" s="12" t="s">
        <v>50</v>
      </c>
      <c r="D1377" s="13"/>
      <c r="E1377" s="14" t="s">
        <v>2638</v>
      </c>
      <c r="F1377" s="15" t="s">
        <v>24</v>
      </c>
      <c r="G1377" s="16"/>
      <c r="H1377" s="36">
        <v>517.79999999999995</v>
      </c>
      <c r="I1377" s="36">
        <f>ROUND(H1377-(H1377*I2/100),2)</f>
        <v>517.79999999999995</v>
      </c>
      <c r="J1377" s="17">
        <v>87</v>
      </c>
      <c r="K1377" s="18"/>
      <c r="L1377" s="18"/>
      <c r="M1377" s="20"/>
      <c r="N1377" s="37">
        <f t="shared" si="64"/>
        <v>0</v>
      </c>
      <c r="O1377" s="21">
        <v>0.57099999999999995</v>
      </c>
      <c r="P1377" s="22">
        <v>1.0139999999999999E-3</v>
      </c>
    </row>
    <row r="1378" spans="1:16" s="1" customFormat="1" ht="119.1" customHeight="1" outlineLevel="3" x14ac:dyDescent="0.2">
      <c r="A1378" s="11">
        <v>216854</v>
      </c>
      <c r="B1378" s="12" t="s">
        <v>2639</v>
      </c>
      <c r="C1378" s="12" t="s">
        <v>50</v>
      </c>
      <c r="D1378" s="13"/>
      <c r="E1378" s="14" t="s">
        <v>2640</v>
      </c>
      <c r="F1378" s="15" t="s">
        <v>24</v>
      </c>
      <c r="G1378" s="16"/>
      <c r="H1378" s="36">
        <v>247.2</v>
      </c>
      <c r="I1378" s="36">
        <f>ROUND(H1378-(H1378*I2/100),2)</f>
        <v>247.2</v>
      </c>
      <c r="J1378" s="17">
        <v>106</v>
      </c>
      <c r="K1378" s="18"/>
      <c r="L1378" s="18"/>
      <c r="M1378" s="20"/>
      <c r="N1378" s="37">
        <f t="shared" si="64"/>
        <v>0</v>
      </c>
      <c r="O1378" s="21">
        <v>4.2000000000000003E-2</v>
      </c>
      <c r="P1378" s="22">
        <v>3.6299999999999999E-4</v>
      </c>
    </row>
    <row r="1379" spans="1:16" s="1" customFormat="1" ht="119.1" customHeight="1" outlineLevel="3" x14ac:dyDescent="0.2">
      <c r="A1379" s="11">
        <v>216855</v>
      </c>
      <c r="B1379" s="12" t="s">
        <v>2641</v>
      </c>
      <c r="C1379" s="12" t="s">
        <v>50</v>
      </c>
      <c r="D1379" s="13"/>
      <c r="E1379" s="14" t="s">
        <v>2642</v>
      </c>
      <c r="F1379" s="15" t="s">
        <v>24</v>
      </c>
      <c r="G1379" s="16"/>
      <c r="H1379" s="36">
        <v>467.9</v>
      </c>
      <c r="I1379" s="36">
        <f>ROUND(H1379-(H1379*I2/100),2)</f>
        <v>467.9</v>
      </c>
      <c r="J1379" s="17">
        <v>100</v>
      </c>
      <c r="K1379" s="18"/>
      <c r="L1379" s="18"/>
      <c r="M1379" s="20"/>
      <c r="N1379" s="37">
        <f t="shared" si="64"/>
        <v>0</v>
      </c>
      <c r="O1379" s="21">
        <v>0.11799999999999999</v>
      </c>
      <c r="P1379" s="22">
        <v>3.6299999999999999E-4</v>
      </c>
    </row>
    <row r="1380" spans="1:16" s="1" customFormat="1" ht="119.1" customHeight="1" outlineLevel="3" x14ac:dyDescent="0.2">
      <c r="A1380" s="11">
        <v>216856</v>
      </c>
      <c r="B1380" s="12" t="s">
        <v>2643</v>
      </c>
      <c r="C1380" s="12" t="s">
        <v>50</v>
      </c>
      <c r="D1380" s="13"/>
      <c r="E1380" s="14" t="s">
        <v>2644</v>
      </c>
      <c r="F1380" s="15" t="s">
        <v>24</v>
      </c>
      <c r="G1380" s="16"/>
      <c r="H1380" s="36">
        <v>716.6</v>
      </c>
      <c r="I1380" s="36">
        <f>ROUND(H1380-(H1380*I2/100),2)</f>
        <v>716.6</v>
      </c>
      <c r="J1380" s="17">
        <v>101</v>
      </c>
      <c r="K1380" s="18"/>
      <c r="L1380" s="18"/>
      <c r="M1380" s="20"/>
      <c r="N1380" s="37">
        <f t="shared" si="64"/>
        <v>0</v>
      </c>
      <c r="O1380" s="21">
        <v>0.19400000000000001</v>
      </c>
      <c r="P1380" s="22">
        <v>5.4500000000000002E-4</v>
      </c>
    </row>
    <row r="1381" spans="1:16" s="1" customFormat="1" ht="119.1" customHeight="1" outlineLevel="3" x14ac:dyDescent="0.2">
      <c r="A1381" s="11">
        <v>199644</v>
      </c>
      <c r="B1381" s="12" t="s">
        <v>2645</v>
      </c>
      <c r="C1381" s="12" t="s">
        <v>22</v>
      </c>
      <c r="D1381" s="13"/>
      <c r="E1381" s="14" t="s">
        <v>2646</v>
      </c>
      <c r="F1381" s="15" t="s">
        <v>24</v>
      </c>
      <c r="G1381" s="16"/>
      <c r="H1381" s="36">
        <v>192.6</v>
      </c>
      <c r="I1381" s="36">
        <f>ROUND(H1381-(H1381*I2/100),2)</f>
        <v>192.6</v>
      </c>
      <c r="J1381" s="17">
        <v>348</v>
      </c>
      <c r="K1381" s="18"/>
      <c r="L1381" s="18"/>
      <c r="M1381" s="20"/>
      <c r="N1381" s="37">
        <f t="shared" si="64"/>
        <v>0</v>
      </c>
      <c r="O1381" s="21">
        <v>0.2</v>
      </c>
      <c r="P1381" s="22">
        <v>2.0000000000000001E-4</v>
      </c>
    </row>
    <row r="1382" spans="1:16" s="1" customFormat="1" ht="119.1" customHeight="1" outlineLevel="3" x14ac:dyDescent="0.2">
      <c r="A1382" s="11">
        <v>186837</v>
      </c>
      <c r="B1382" s="12" t="s">
        <v>2647</v>
      </c>
      <c r="C1382" s="12" t="s">
        <v>22</v>
      </c>
      <c r="D1382" s="13"/>
      <c r="E1382" s="14" t="s">
        <v>2648</v>
      </c>
      <c r="F1382" s="15" t="s">
        <v>24</v>
      </c>
      <c r="G1382" s="16"/>
      <c r="H1382" s="36">
        <v>357.8</v>
      </c>
      <c r="I1382" s="36">
        <f>ROUND(H1382-(H1382*I2/100),2)</f>
        <v>357.8</v>
      </c>
      <c r="J1382" s="17">
        <v>193</v>
      </c>
      <c r="K1382" s="18"/>
      <c r="L1382" s="18"/>
      <c r="M1382" s="20"/>
      <c r="N1382" s="37">
        <f t="shared" si="64"/>
        <v>0</v>
      </c>
      <c r="O1382" s="21">
        <v>0.104</v>
      </c>
      <c r="P1382" s="22">
        <v>3.4600000000000001E-4</v>
      </c>
    </row>
    <row r="1383" spans="1:16" s="1" customFormat="1" ht="119.1" customHeight="1" outlineLevel="3" x14ac:dyDescent="0.2">
      <c r="A1383" s="11">
        <v>186838</v>
      </c>
      <c r="B1383" s="12" t="s">
        <v>2649</v>
      </c>
      <c r="C1383" s="12" t="s">
        <v>22</v>
      </c>
      <c r="D1383" s="13"/>
      <c r="E1383" s="14" t="s">
        <v>2650</v>
      </c>
      <c r="F1383" s="15" t="s">
        <v>24</v>
      </c>
      <c r="G1383" s="16"/>
      <c r="H1383" s="36">
        <v>501.3</v>
      </c>
      <c r="I1383" s="36">
        <f>ROUND(H1383-(H1383*I2/100),2)</f>
        <v>501.3</v>
      </c>
      <c r="J1383" s="17">
        <v>41</v>
      </c>
      <c r="K1383" s="18"/>
      <c r="L1383" s="18"/>
      <c r="M1383" s="20"/>
      <c r="N1383" s="37">
        <f t="shared" si="64"/>
        <v>0</v>
      </c>
      <c r="O1383" s="21">
        <v>0.16</v>
      </c>
      <c r="P1383" s="22">
        <v>3.4600000000000001E-4</v>
      </c>
    </row>
    <row r="1384" spans="1:16" s="1" customFormat="1" ht="119.1" customHeight="1" outlineLevel="3" x14ac:dyDescent="0.2">
      <c r="A1384" s="11">
        <v>186839</v>
      </c>
      <c r="B1384" s="12" t="s">
        <v>2651</v>
      </c>
      <c r="C1384" s="12" t="s">
        <v>22</v>
      </c>
      <c r="D1384" s="13"/>
      <c r="E1384" s="14" t="s">
        <v>2652</v>
      </c>
      <c r="F1384" s="15" t="s">
        <v>24</v>
      </c>
      <c r="G1384" s="16"/>
      <c r="H1384" s="36">
        <v>852.4</v>
      </c>
      <c r="I1384" s="36">
        <f>ROUND(H1384-(H1384*I2/100),2)</f>
        <v>852.4</v>
      </c>
      <c r="J1384" s="17">
        <v>71</v>
      </c>
      <c r="K1384" s="18"/>
      <c r="L1384" s="18"/>
      <c r="M1384" s="20"/>
      <c r="N1384" s="37">
        <f t="shared" si="64"/>
        <v>0</v>
      </c>
      <c r="O1384" s="21">
        <v>0.28299999999999997</v>
      </c>
      <c r="P1384" s="22">
        <v>3.4600000000000001E-4</v>
      </c>
    </row>
    <row r="1385" spans="1:16" s="1" customFormat="1" ht="119.1" customHeight="1" outlineLevel="3" x14ac:dyDescent="0.2">
      <c r="A1385" s="11">
        <v>186841</v>
      </c>
      <c r="B1385" s="12" t="s">
        <v>2653</v>
      </c>
      <c r="C1385" s="12" t="s">
        <v>22</v>
      </c>
      <c r="D1385" s="13"/>
      <c r="E1385" s="14" t="s">
        <v>2654</v>
      </c>
      <c r="F1385" s="15" t="s">
        <v>24</v>
      </c>
      <c r="G1385" s="16"/>
      <c r="H1385" s="36">
        <v>1102.3</v>
      </c>
      <c r="I1385" s="36">
        <f>ROUND(H1385-(H1385*I2/100),2)</f>
        <v>1102.3</v>
      </c>
      <c r="J1385" s="17">
        <v>89</v>
      </c>
      <c r="K1385" s="18"/>
      <c r="L1385" s="18"/>
      <c r="M1385" s="20"/>
      <c r="N1385" s="37">
        <f t="shared" si="64"/>
        <v>0</v>
      </c>
      <c r="O1385" s="21">
        <v>0.41399999999999998</v>
      </c>
      <c r="P1385" s="22">
        <v>5.6300000000000002E-4</v>
      </c>
    </row>
    <row r="1386" spans="1:16" s="1" customFormat="1" ht="119.1" customHeight="1" outlineLevel="3" x14ac:dyDescent="0.2">
      <c r="A1386" s="11">
        <v>186842</v>
      </c>
      <c r="B1386" s="12" t="s">
        <v>2655</v>
      </c>
      <c r="C1386" s="12" t="s">
        <v>22</v>
      </c>
      <c r="D1386" s="13"/>
      <c r="E1386" s="14" t="s">
        <v>2656</v>
      </c>
      <c r="F1386" s="15" t="s">
        <v>24</v>
      </c>
      <c r="G1386" s="16"/>
      <c r="H1386" s="36">
        <v>1355.3</v>
      </c>
      <c r="I1386" s="36">
        <f>ROUND(H1386-(H1386*I2/100),2)</f>
        <v>1355.3</v>
      </c>
      <c r="J1386" s="17">
        <v>74</v>
      </c>
      <c r="K1386" s="18"/>
      <c r="L1386" s="18"/>
      <c r="M1386" s="20"/>
      <c r="N1386" s="37">
        <f t="shared" si="64"/>
        <v>0</v>
      </c>
      <c r="O1386" s="21">
        <v>0.57899999999999996</v>
      </c>
      <c r="P1386" s="22">
        <v>5.6300000000000002E-4</v>
      </c>
    </row>
    <row r="1387" spans="1:16" s="1" customFormat="1" ht="119.1" customHeight="1" outlineLevel="3" x14ac:dyDescent="0.2">
      <c r="A1387" s="11">
        <v>216857</v>
      </c>
      <c r="B1387" s="12" t="s">
        <v>2657</v>
      </c>
      <c r="C1387" s="12" t="s">
        <v>50</v>
      </c>
      <c r="D1387" s="13"/>
      <c r="E1387" s="14" t="s">
        <v>2658</v>
      </c>
      <c r="F1387" s="15" t="s">
        <v>24</v>
      </c>
      <c r="G1387" s="16"/>
      <c r="H1387" s="36">
        <v>149.4</v>
      </c>
      <c r="I1387" s="36">
        <f>ROUND(H1387-(H1387*I2/100),2)</f>
        <v>149.4</v>
      </c>
      <c r="J1387" s="17">
        <v>196</v>
      </c>
      <c r="K1387" s="18"/>
      <c r="L1387" s="18"/>
      <c r="M1387" s="20"/>
      <c r="N1387" s="37">
        <f t="shared" si="64"/>
        <v>0</v>
      </c>
      <c r="O1387" s="21">
        <v>0.15</v>
      </c>
      <c r="P1387" s="22">
        <v>1.21E-4</v>
      </c>
    </row>
    <row r="1388" spans="1:16" s="1" customFormat="1" ht="119.1" customHeight="1" outlineLevel="3" x14ac:dyDescent="0.2">
      <c r="A1388" s="11">
        <v>216858</v>
      </c>
      <c r="B1388" s="12" t="s">
        <v>2659</v>
      </c>
      <c r="C1388" s="12" t="s">
        <v>50</v>
      </c>
      <c r="D1388" s="13"/>
      <c r="E1388" s="14" t="s">
        <v>2660</v>
      </c>
      <c r="F1388" s="15" t="s">
        <v>24</v>
      </c>
      <c r="G1388" s="16"/>
      <c r="H1388" s="36">
        <v>221.8</v>
      </c>
      <c r="I1388" s="36">
        <f>ROUND(H1388-(H1388*I2/100),2)</f>
        <v>221.8</v>
      </c>
      <c r="J1388" s="17">
        <v>96</v>
      </c>
      <c r="K1388" s="18"/>
      <c r="L1388" s="18"/>
      <c r="M1388" s="20"/>
      <c r="N1388" s="37">
        <f t="shared" si="64"/>
        <v>0</v>
      </c>
      <c r="O1388" s="21">
        <v>0.251</v>
      </c>
      <c r="P1388" s="22">
        <v>1.5200000000000001E-4</v>
      </c>
    </row>
    <row r="1389" spans="1:16" s="1" customFormat="1" ht="119.1" customHeight="1" outlineLevel="3" x14ac:dyDescent="0.2">
      <c r="A1389" s="11">
        <v>216859</v>
      </c>
      <c r="B1389" s="12" t="s">
        <v>2661</v>
      </c>
      <c r="C1389" s="12" t="s">
        <v>50</v>
      </c>
      <c r="D1389" s="13"/>
      <c r="E1389" s="14" t="s">
        <v>2662</v>
      </c>
      <c r="F1389" s="15" t="s">
        <v>24</v>
      </c>
      <c r="G1389" s="16"/>
      <c r="H1389" s="36">
        <v>329.7</v>
      </c>
      <c r="I1389" s="36">
        <f>ROUND(H1389-(H1389*I2/100),2)</f>
        <v>329.7</v>
      </c>
      <c r="J1389" s="17">
        <v>83</v>
      </c>
      <c r="K1389" s="18"/>
      <c r="L1389" s="18"/>
      <c r="M1389" s="20"/>
      <c r="N1389" s="37">
        <f t="shared" si="64"/>
        <v>0</v>
      </c>
      <c r="O1389" s="21">
        <v>0.40600000000000003</v>
      </c>
      <c r="P1389" s="22">
        <v>2.13E-4</v>
      </c>
    </row>
    <row r="1390" spans="1:16" s="1" customFormat="1" ht="119.1" customHeight="1" outlineLevel="3" x14ac:dyDescent="0.2">
      <c r="A1390" s="11">
        <v>216860</v>
      </c>
      <c r="B1390" s="12" t="s">
        <v>2663</v>
      </c>
      <c r="C1390" s="12" t="s">
        <v>50</v>
      </c>
      <c r="D1390" s="13"/>
      <c r="E1390" s="14" t="s">
        <v>2664</v>
      </c>
      <c r="F1390" s="15" t="s">
        <v>24</v>
      </c>
      <c r="G1390" s="16"/>
      <c r="H1390" s="36">
        <v>522.4</v>
      </c>
      <c r="I1390" s="36">
        <f>ROUND(H1390-(H1390*I2/100),2)</f>
        <v>522.4</v>
      </c>
      <c r="J1390" s="17">
        <v>99</v>
      </c>
      <c r="K1390" s="18"/>
      <c r="L1390" s="18"/>
      <c r="M1390" s="20"/>
      <c r="N1390" s="37">
        <f t="shared" si="64"/>
        <v>0</v>
      </c>
      <c r="O1390" s="21">
        <v>0.65300000000000002</v>
      </c>
      <c r="P1390" s="22">
        <v>3.2600000000000001E-4</v>
      </c>
    </row>
    <row r="1391" spans="1:16" s="1" customFormat="1" ht="119.1" customHeight="1" outlineLevel="3" x14ac:dyDescent="0.2">
      <c r="A1391" s="11">
        <v>186836</v>
      </c>
      <c r="B1391" s="12" t="s">
        <v>2665</v>
      </c>
      <c r="C1391" s="12" t="s">
        <v>22</v>
      </c>
      <c r="D1391" s="13"/>
      <c r="E1391" s="14" t="s">
        <v>2666</v>
      </c>
      <c r="F1391" s="15" t="s">
        <v>24</v>
      </c>
      <c r="G1391" s="16"/>
      <c r="H1391" s="36">
        <v>181.8</v>
      </c>
      <c r="I1391" s="36">
        <f>ROUND(H1391-(H1391*I2/100),2)</f>
        <v>181.8</v>
      </c>
      <c r="J1391" s="17">
        <v>87</v>
      </c>
      <c r="K1391" s="18"/>
      <c r="L1391" s="18"/>
      <c r="M1391" s="20"/>
      <c r="N1391" s="37">
        <f t="shared" si="64"/>
        <v>0</v>
      </c>
      <c r="O1391" s="21">
        <v>0.15</v>
      </c>
      <c r="P1391" s="22">
        <v>5.1999999999999997E-5</v>
      </c>
    </row>
    <row r="1392" spans="1:16" s="1" customFormat="1" ht="119.1" customHeight="1" outlineLevel="3" x14ac:dyDescent="0.2">
      <c r="A1392" s="11">
        <v>216911</v>
      </c>
      <c r="B1392" s="12" t="s">
        <v>2667</v>
      </c>
      <c r="C1392" s="12" t="s">
        <v>50</v>
      </c>
      <c r="D1392" s="13"/>
      <c r="E1392" s="14" t="s">
        <v>2668</v>
      </c>
      <c r="F1392" s="15" t="s">
        <v>24</v>
      </c>
      <c r="G1392" s="16"/>
      <c r="H1392" s="36">
        <v>315.60000000000002</v>
      </c>
      <c r="I1392" s="36">
        <f>ROUND(H1392-(H1392*I2/100),2)</f>
        <v>315.60000000000002</v>
      </c>
      <c r="J1392" s="17">
        <v>26</v>
      </c>
      <c r="K1392" s="18"/>
      <c r="L1392" s="18"/>
      <c r="M1392" s="20"/>
      <c r="N1392" s="37">
        <f t="shared" si="64"/>
        <v>0</v>
      </c>
      <c r="O1392" s="21">
        <v>0.25</v>
      </c>
      <c r="P1392" s="22">
        <v>5.4500000000000002E-4</v>
      </c>
    </row>
    <row r="1393" spans="1:16" s="8" customFormat="1" ht="15.95" customHeight="1" outlineLevel="2" x14ac:dyDescent="0.25">
      <c r="A1393" s="9"/>
      <c r="B1393" s="10"/>
      <c r="C1393" s="10"/>
      <c r="D1393" s="10" t="s">
        <v>2669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</row>
    <row r="1394" spans="1:16" s="1" customFormat="1" ht="119.1" customHeight="1" outlineLevel="3" x14ac:dyDescent="0.2">
      <c r="A1394" s="11">
        <v>217033</v>
      </c>
      <c r="B1394" s="12" t="s">
        <v>2670</v>
      </c>
      <c r="C1394" s="12" t="s">
        <v>50</v>
      </c>
      <c r="D1394" s="13"/>
      <c r="E1394" s="14" t="s">
        <v>2671</v>
      </c>
      <c r="F1394" s="15" t="s">
        <v>24</v>
      </c>
      <c r="G1394" s="16"/>
      <c r="H1394" s="36">
        <v>131</v>
      </c>
      <c r="I1394" s="36">
        <f>ROUND(H1394-(H1394*I2/100),2)</f>
        <v>131</v>
      </c>
      <c r="J1394" s="17">
        <v>153</v>
      </c>
      <c r="K1394" s="18"/>
      <c r="L1394" s="18"/>
      <c r="M1394" s="20"/>
      <c r="N1394" s="37">
        <f>I1394*M1394</f>
        <v>0</v>
      </c>
      <c r="O1394" s="21">
        <v>0.251</v>
      </c>
      <c r="P1394" s="22">
        <v>7.6499999999999995E-4</v>
      </c>
    </row>
    <row r="1395" spans="1:16" s="1" customFormat="1" ht="119.1" customHeight="1" outlineLevel="3" x14ac:dyDescent="0.2">
      <c r="A1395" s="11">
        <v>217034</v>
      </c>
      <c r="B1395" s="12" t="s">
        <v>2672</v>
      </c>
      <c r="C1395" s="12" t="s">
        <v>50</v>
      </c>
      <c r="D1395" s="13"/>
      <c r="E1395" s="14" t="s">
        <v>2673</v>
      </c>
      <c r="F1395" s="15" t="s">
        <v>24</v>
      </c>
      <c r="G1395" s="16"/>
      <c r="H1395" s="36">
        <v>72</v>
      </c>
      <c r="I1395" s="36">
        <f>ROUND(H1395-(H1395*I2/100),2)</f>
        <v>72</v>
      </c>
      <c r="J1395" s="17">
        <v>196</v>
      </c>
      <c r="K1395" s="18"/>
      <c r="L1395" s="18"/>
      <c r="M1395" s="20"/>
      <c r="N1395" s="37">
        <f>I1395*M1395</f>
        <v>0</v>
      </c>
      <c r="O1395" s="21">
        <v>0.10100000000000001</v>
      </c>
      <c r="P1395" s="22">
        <v>2.32E-4</v>
      </c>
    </row>
    <row r="1396" spans="1:16" s="1" customFormat="1" ht="119.1" customHeight="1" outlineLevel="3" x14ac:dyDescent="0.2">
      <c r="A1396" s="11">
        <v>217035</v>
      </c>
      <c r="B1396" s="12" t="s">
        <v>2674</v>
      </c>
      <c r="C1396" s="12" t="s">
        <v>50</v>
      </c>
      <c r="D1396" s="13"/>
      <c r="E1396" s="14" t="s">
        <v>2675</v>
      </c>
      <c r="F1396" s="15" t="s">
        <v>24</v>
      </c>
      <c r="G1396" s="16"/>
      <c r="H1396" s="36">
        <v>118.7</v>
      </c>
      <c r="I1396" s="36">
        <f>ROUND(H1396-(H1396*I2/100),2)</f>
        <v>118.7</v>
      </c>
      <c r="J1396" s="17">
        <v>44</v>
      </c>
      <c r="K1396" s="18"/>
      <c r="L1396" s="18"/>
      <c r="M1396" s="20"/>
      <c r="N1396" s="37">
        <f>I1396*M1396</f>
        <v>0</v>
      </c>
      <c r="O1396" s="21">
        <v>0.19800000000000001</v>
      </c>
      <c r="P1396" s="22">
        <v>6.1200000000000002E-4</v>
      </c>
    </row>
    <row r="1397" spans="1:16" s="8" customFormat="1" ht="15.95" customHeight="1" outlineLevel="1" x14ac:dyDescent="0.25">
      <c r="A1397" s="9"/>
      <c r="B1397" s="10"/>
      <c r="C1397" s="10"/>
      <c r="D1397" s="10" t="s">
        <v>2676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</row>
    <row r="1398" spans="1:16" s="8" customFormat="1" ht="15.95" customHeight="1" outlineLevel="2" x14ac:dyDescent="0.25">
      <c r="A1398" s="9"/>
      <c r="B1398" s="10"/>
      <c r="C1398" s="10"/>
      <c r="D1398" s="10" t="s">
        <v>2677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</row>
    <row r="1399" spans="1:16" s="1" customFormat="1" ht="119.1" customHeight="1" outlineLevel="3" x14ac:dyDescent="0.2">
      <c r="A1399" s="11">
        <v>217009</v>
      </c>
      <c r="B1399" s="12" t="s">
        <v>2678</v>
      </c>
      <c r="C1399" s="12" t="s">
        <v>50</v>
      </c>
      <c r="D1399" s="13"/>
      <c r="E1399" s="14" t="s">
        <v>2679</v>
      </c>
      <c r="F1399" s="15" t="s">
        <v>24</v>
      </c>
      <c r="G1399" s="16"/>
      <c r="H1399" s="36">
        <v>10.9</v>
      </c>
      <c r="I1399" s="36">
        <f>ROUND(H1399-(H1399*I2/100),2)</f>
        <v>10.9</v>
      </c>
      <c r="J1399" s="17">
        <v>644</v>
      </c>
      <c r="K1399" s="18"/>
      <c r="L1399" s="18"/>
      <c r="M1399" s="20"/>
      <c r="N1399" s="37">
        <f t="shared" ref="N1399:N1407" si="65">I1399*M1399</f>
        <v>0</v>
      </c>
      <c r="O1399" s="21">
        <v>7.0000000000000001E-3</v>
      </c>
      <c r="P1399" s="22">
        <v>1.0000000000000001E-5</v>
      </c>
    </row>
    <row r="1400" spans="1:16" s="1" customFormat="1" ht="119.1" customHeight="1" outlineLevel="3" x14ac:dyDescent="0.2">
      <c r="A1400" s="11">
        <v>217010</v>
      </c>
      <c r="B1400" s="12" t="s">
        <v>2680</v>
      </c>
      <c r="C1400" s="12" t="s">
        <v>50</v>
      </c>
      <c r="D1400" s="13"/>
      <c r="E1400" s="14" t="s">
        <v>2681</v>
      </c>
      <c r="F1400" s="15" t="s">
        <v>24</v>
      </c>
      <c r="G1400" s="16"/>
      <c r="H1400" s="36">
        <v>30.3</v>
      </c>
      <c r="I1400" s="36">
        <f>ROUND(H1400-(H1400*I2/100),2)</f>
        <v>30.3</v>
      </c>
      <c r="J1400" s="17">
        <v>360</v>
      </c>
      <c r="K1400" s="18"/>
      <c r="L1400" s="18"/>
      <c r="M1400" s="20"/>
      <c r="N1400" s="37">
        <f t="shared" si="65"/>
        <v>0</v>
      </c>
      <c r="O1400" s="21">
        <v>2.1000000000000001E-2</v>
      </c>
      <c r="P1400" s="22">
        <v>1.7E-5</v>
      </c>
    </row>
    <row r="1401" spans="1:16" s="1" customFormat="1" ht="119.1" customHeight="1" outlineLevel="3" x14ac:dyDescent="0.2">
      <c r="A1401" s="11">
        <v>217011</v>
      </c>
      <c r="B1401" s="12" t="s">
        <v>2682</v>
      </c>
      <c r="C1401" s="12" t="s">
        <v>50</v>
      </c>
      <c r="D1401" s="13"/>
      <c r="E1401" s="14" t="s">
        <v>2683</v>
      </c>
      <c r="F1401" s="15" t="s">
        <v>24</v>
      </c>
      <c r="G1401" s="16"/>
      <c r="H1401" s="36">
        <v>10.9</v>
      </c>
      <c r="I1401" s="36">
        <f>ROUND(H1401-(H1401*I2/100),2)</f>
        <v>10.9</v>
      </c>
      <c r="J1401" s="17">
        <v>600</v>
      </c>
      <c r="K1401" s="18"/>
      <c r="L1401" s="18"/>
      <c r="M1401" s="20"/>
      <c r="N1401" s="37">
        <f t="shared" si="65"/>
        <v>0</v>
      </c>
      <c r="O1401" s="21">
        <v>8.0000000000000002E-3</v>
      </c>
      <c r="P1401" s="22">
        <v>1.4E-5</v>
      </c>
    </row>
    <row r="1402" spans="1:16" s="1" customFormat="1" ht="119.1" customHeight="1" outlineLevel="3" x14ac:dyDescent="0.2">
      <c r="A1402" s="11">
        <v>217012</v>
      </c>
      <c r="B1402" s="12" t="s">
        <v>2684</v>
      </c>
      <c r="C1402" s="12" t="s">
        <v>50</v>
      </c>
      <c r="D1402" s="13"/>
      <c r="E1402" s="14" t="s">
        <v>2685</v>
      </c>
      <c r="F1402" s="15" t="s">
        <v>24</v>
      </c>
      <c r="G1402" s="16"/>
      <c r="H1402" s="36">
        <v>31.7</v>
      </c>
      <c r="I1402" s="36">
        <f>ROUND(H1402-(H1402*I2/100),2)</f>
        <v>31.7</v>
      </c>
      <c r="J1402" s="17">
        <v>380</v>
      </c>
      <c r="K1402" s="18"/>
      <c r="L1402" s="18"/>
      <c r="M1402" s="20"/>
      <c r="N1402" s="37">
        <f t="shared" si="65"/>
        <v>0</v>
      </c>
      <c r="O1402" s="21">
        <v>2.1999999999999999E-2</v>
      </c>
      <c r="P1402" s="22">
        <v>3.4E-5</v>
      </c>
    </row>
    <row r="1403" spans="1:16" s="1" customFormat="1" ht="119.1" customHeight="1" outlineLevel="3" x14ac:dyDescent="0.2">
      <c r="A1403" s="11">
        <v>217013</v>
      </c>
      <c r="B1403" s="12" t="s">
        <v>2686</v>
      </c>
      <c r="C1403" s="12" t="s">
        <v>50</v>
      </c>
      <c r="D1403" s="13"/>
      <c r="E1403" s="14" t="s">
        <v>2687</v>
      </c>
      <c r="F1403" s="15" t="s">
        <v>24</v>
      </c>
      <c r="G1403" s="16"/>
      <c r="H1403" s="36">
        <v>11.1</v>
      </c>
      <c r="I1403" s="36">
        <f>ROUND(H1403-(H1403*I2/100),2)</f>
        <v>11.1</v>
      </c>
      <c r="J1403" s="27">
        <v>1009</v>
      </c>
      <c r="K1403" s="18"/>
      <c r="L1403" s="18"/>
      <c r="M1403" s="20"/>
      <c r="N1403" s="37">
        <f t="shared" si="65"/>
        <v>0</v>
      </c>
      <c r="O1403" s="21">
        <v>8.0000000000000002E-3</v>
      </c>
      <c r="P1403" s="22">
        <v>1.0000000000000001E-5</v>
      </c>
    </row>
    <row r="1404" spans="1:16" s="1" customFormat="1" ht="119.1" customHeight="1" outlineLevel="3" x14ac:dyDescent="0.2">
      <c r="A1404" s="11">
        <v>217014</v>
      </c>
      <c r="B1404" s="12" t="s">
        <v>2688</v>
      </c>
      <c r="C1404" s="12" t="s">
        <v>50</v>
      </c>
      <c r="D1404" s="13"/>
      <c r="E1404" s="14" t="s">
        <v>2689</v>
      </c>
      <c r="F1404" s="15" t="s">
        <v>24</v>
      </c>
      <c r="G1404" s="16"/>
      <c r="H1404" s="36">
        <v>31.7</v>
      </c>
      <c r="I1404" s="36">
        <f>ROUND(H1404-(H1404*I2/100),2)</f>
        <v>31.7</v>
      </c>
      <c r="J1404" s="17">
        <v>350</v>
      </c>
      <c r="K1404" s="18"/>
      <c r="L1404" s="18"/>
      <c r="M1404" s="20"/>
      <c r="N1404" s="37">
        <f t="shared" si="65"/>
        <v>0</v>
      </c>
      <c r="O1404" s="21">
        <v>2.3E-2</v>
      </c>
      <c r="P1404" s="22">
        <v>4.1E-5</v>
      </c>
    </row>
    <row r="1405" spans="1:16" s="1" customFormat="1" ht="119.1" customHeight="1" outlineLevel="3" x14ac:dyDescent="0.2">
      <c r="A1405" s="11">
        <v>217015</v>
      </c>
      <c r="B1405" s="12" t="s">
        <v>2690</v>
      </c>
      <c r="C1405" s="12" t="s">
        <v>50</v>
      </c>
      <c r="D1405" s="13"/>
      <c r="E1405" s="14" t="s">
        <v>2691</v>
      </c>
      <c r="F1405" s="15" t="s">
        <v>24</v>
      </c>
      <c r="G1405" s="16"/>
      <c r="H1405" s="36">
        <v>33.5</v>
      </c>
      <c r="I1405" s="36">
        <f>ROUND(H1405-(H1405*I2/100),2)</f>
        <v>33.5</v>
      </c>
      <c r="J1405" s="17">
        <v>310</v>
      </c>
      <c r="K1405" s="18"/>
      <c r="L1405" s="18"/>
      <c r="M1405" s="20"/>
      <c r="N1405" s="37">
        <f t="shared" si="65"/>
        <v>0</v>
      </c>
      <c r="O1405" s="21">
        <v>2.4E-2</v>
      </c>
      <c r="P1405" s="22">
        <v>4.1999999999999998E-5</v>
      </c>
    </row>
    <row r="1406" spans="1:16" s="1" customFormat="1" ht="119.1" customHeight="1" outlineLevel="3" x14ac:dyDescent="0.2">
      <c r="A1406" s="11">
        <v>217016</v>
      </c>
      <c r="B1406" s="12" t="s">
        <v>2692</v>
      </c>
      <c r="C1406" s="12" t="s">
        <v>50</v>
      </c>
      <c r="D1406" s="13"/>
      <c r="E1406" s="14" t="s">
        <v>2693</v>
      </c>
      <c r="F1406" s="15" t="s">
        <v>24</v>
      </c>
      <c r="G1406" s="16"/>
      <c r="H1406" s="36">
        <v>35</v>
      </c>
      <c r="I1406" s="36">
        <f>ROUND(H1406-(H1406*I2/100),2)</f>
        <v>35</v>
      </c>
      <c r="J1406" s="17">
        <v>320</v>
      </c>
      <c r="K1406" s="18"/>
      <c r="L1406" s="18"/>
      <c r="M1406" s="20"/>
      <c r="N1406" s="37">
        <f t="shared" si="65"/>
        <v>0</v>
      </c>
      <c r="O1406" s="21">
        <v>2.5000000000000001E-2</v>
      </c>
      <c r="P1406" s="22">
        <v>5.1999999999999997E-5</v>
      </c>
    </row>
    <row r="1407" spans="1:16" s="1" customFormat="1" ht="119.1" customHeight="1" outlineLevel="3" x14ac:dyDescent="0.2">
      <c r="A1407" s="11">
        <v>217017</v>
      </c>
      <c r="B1407" s="12" t="s">
        <v>2694</v>
      </c>
      <c r="C1407" s="12" t="s">
        <v>50</v>
      </c>
      <c r="D1407" s="13"/>
      <c r="E1407" s="14" t="s">
        <v>2695</v>
      </c>
      <c r="F1407" s="15" t="s">
        <v>24</v>
      </c>
      <c r="G1407" s="16"/>
      <c r="H1407" s="36">
        <v>10.3</v>
      </c>
      <c r="I1407" s="36">
        <f>ROUND(H1407-(H1407*I2/100),2)</f>
        <v>10.3</v>
      </c>
      <c r="J1407" s="17">
        <v>134</v>
      </c>
      <c r="K1407" s="18"/>
      <c r="L1407" s="18"/>
      <c r="M1407" s="20"/>
      <c r="N1407" s="37">
        <f t="shared" si="65"/>
        <v>0</v>
      </c>
      <c r="O1407" s="21">
        <v>7.0000000000000001E-3</v>
      </c>
      <c r="P1407" s="22">
        <v>9.0000000000000002E-6</v>
      </c>
    </row>
    <row r="1408" spans="1:16" s="8" customFormat="1" ht="15.95" customHeight="1" outlineLevel="2" x14ac:dyDescent="0.25">
      <c r="A1408" s="9"/>
      <c r="B1408" s="10"/>
      <c r="C1408" s="10"/>
      <c r="D1408" s="10" t="s">
        <v>2696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</row>
    <row r="1409" spans="1:16" s="1" customFormat="1" ht="119.1" customHeight="1" outlineLevel="3" x14ac:dyDescent="0.2">
      <c r="A1409" s="11">
        <v>177317</v>
      </c>
      <c r="B1409" s="12" t="s">
        <v>2697</v>
      </c>
      <c r="C1409" s="12" t="s">
        <v>22</v>
      </c>
      <c r="D1409" s="13"/>
      <c r="E1409" s="14" t="s">
        <v>2698</v>
      </c>
      <c r="F1409" s="15" t="s">
        <v>113</v>
      </c>
      <c r="G1409" s="16"/>
      <c r="H1409" s="36">
        <v>50.5</v>
      </c>
      <c r="I1409" s="36">
        <f>ROUND(H1409-(H1409*I2/100),2)</f>
        <v>50.5</v>
      </c>
      <c r="J1409" s="27">
        <v>1317</v>
      </c>
      <c r="K1409" s="18"/>
      <c r="L1409" s="18"/>
      <c r="M1409" s="20"/>
      <c r="N1409" s="37">
        <f t="shared" ref="N1409:N1417" si="66">I1409*M1409</f>
        <v>0</v>
      </c>
      <c r="O1409" s="21">
        <v>2.8000000000000001E-2</v>
      </c>
      <c r="P1409" s="22">
        <v>4.5600000000000003E-4</v>
      </c>
    </row>
    <row r="1410" spans="1:16" s="1" customFormat="1" ht="119.1" customHeight="1" outlineLevel="3" x14ac:dyDescent="0.2">
      <c r="A1410" s="11">
        <v>200465</v>
      </c>
      <c r="B1410" s="12" t="s">
        <v>2699</v>
      </c>
      <c r="C1410" s="12" t="s">
        <v>22</v>
      </c>
      <c r="D1410" s="13"/>
      <c r="E1410" s="14" t="s">
        <v>2700</v>
      </c>
      <c r="F1410" s="15" t="s">
        <v>113</v>
      </c>
      <c r="G1410" s="16"/>
      <c r="H1410" s="36">
        <v>75.2</v>
      </c>
      <c r="I1410" s="36">
        <f>ROUND(H1410-(H1410*I2/100),2)</f>
        <v>75.2</v>
      </c>
      <c r="J1410" s="17">
        <v>557</v>
      </c>
      <c r="K1410" s="18"/>
      <c r="L1410" s="18"/>
      <c r="M1410" s="20"/>
      <c r="N1410" s="37">
        <f t="shared" si="66"/>
        <v>0</v>
      </c>
      <c r="O1410" s="21">
        <v>0.05</v>
      </c>
      <c r="P1410" s="22">
        <v>2.0000000000000001E-4</v>
      </c>
    </row>
    <row r="1411" spans="1:16" s="1" customFormat="1" ht="119.1" customHeight="1" outlineLevel="3" x14ac:dyDescent="0.2">
      <c r="A1411" s="11">
        <v>177318</v>
      </c>
      <c r="B1411" s="12" t="s">
        <v>2701</v>
      </c>
      <c r="C1411" s="12" t="s">
        <v>22</v>
      </c>
      <c r="D1411" s="13"/>
      <c r="E1411" s="14" t="s">
        <v>2702</v>
      </c>
      <c r="F1411" s="15" t="s">
        <v>113</v>
      </c>
      <c r="G1411" s="16"/>
      <c r="H1411" s="36">
        <v>369.2</v>
      </c>
      <c r="I1411" s="36">
        <f>ROUND(H1411-(H1411*I2/100),2)</f>
        <v>369.2</v>
      </c>
      <c r="J1411" s="17">
        <v>5</v>
      </c>
      <c r="K1411" s="18"/>
      <c r="L1411" s="18"/>
      <c r="M1411" s="20"/>
      <c r="N1411" s="37">
        <f t="shared" si="66"/>
        <v>0</v>
      </c>
      <c r="O1411" s="21">
        <v>0.19900000000000001</v>
      </c>
      <c r="P1411" s="22">
        <v>1.5120000000000001E-3</v>
      </c>
    </row>
    <row r="1412" spans="1:16" s="1" customFormat="1" ht="119.1" customHeight="1" outlineLevel="3" x14ac:dyDescent="0.2">
      <c r="A1412" s="11">
        <v>186843</v>
      </c>
      <c r="B1412" s="12" t="s">
        <v>2703</v>
      </c>
      <c r="C1412" s="12" t="s">
        <v>22</v>
      </c>
      <c r="D1412" s="13"/>
      <c r="E1412" s="14" t="s">
        <v>2704</v>
      </c>
      <c r="F1412" s="15" t="s">
        <v>113</v>
      </c>
      <c r="G1412" s="16"/>
      <c r="H1412" s="36">
        <v>2069.6999999999998</v>
      </c>
      <c r="I1412" s="36">
        <f>ROUND(H1412-(H1412*I2/100),2)</f>
        <v>2069.6999999999998</v>
      </c>
      <c r="J1412" s="17">
        <v>33</v>
      </c>
      <c r="K1412" s="18"/>
      <c r="L1412" s="18"/>
      <c r="M1412" s="20"/>
      <c r="N1412" s="37">
        <f t="shared" si="66"/>
        <v>0</v>
      </c>
      <c r="O1412" s="21">
        <v>1.25</v>
      </c>
      <c r="P1412" s="22">
        <v>8.9099999999999995E-3</v>
      </c>
    </row>
    <row r="1413" spans="1:16" s="1" customFormat="1" ht="119.1" customHeight="1" outlineLevel="3" x14ac:dyDescent="0.2">
      <c r="A1413" s="11">
        <v>200467</v>
      </c>
      <c r="B1413" s="12" t="s">
        <v>2705</v>
      </c>
      <c r="C1413" s="12" t="s">
        <v>22</v>
      </c>
      <c r="D1413" s="13"/>
      <c r="E1413" s="14" t="s">
        <v>2706</v>
      </c>
      <c r="F1413" s="15" t="s">
        <v>113</v>
      </c>
      <c r="G1413" s="16"/>
      <c r="H1413" s="36">
        <v>50.5</v>
      </c>
      <c r="I1413" s="36">
        <f>ROUND(H1413-(H1413*I2/100),2)</f>
        <v>50.5</v>
      </c>
      <c r="J1413" s="17">
        <v>791</v>
      </c>
      <c r="K1413" s="18"/>
      <c r="L1413" s="18"/>
      <c r="M1413" s="20"/>
      <c r="N1413" s="37">
        <f t="shared" si="66"/>
        <v>0</v>
      </c>
      <c r="O1413" s="21">
        <v>0.05</v>
      </c>
      <c r="P1413" s="22">
        <v>2.0000000000000001E-4</v>
      </c>
    </row>
    <row r="1414" spans="1:16" s="1" customFormat="1" ht="119.1" customHeight="1" outlineLevel="3" x14ac:dyDescent="0.2">
      <c r="A1414" s="11">
        <v>200468</v>
      </c>
      <c r="B1414" s="12" t="s">
        <v>2707</v>
      </c>
      <c r="C1414" s="12" t="s">
        <v>22</v>
      </c>
      <c r="D1414" s="13"/>
      <c r="E1414" s="14" t="s">
        <v>2708</v>
      </c>
      <c r="F1414" s="15" t="s">
        <v>113</v>
      </c>
      <c r="G1414" s="16"/>
      <c r="H1414" s="36">
        <v>75.2</v>
      </c>
      <c r="I1414" s="36">
        <f>ROUND(H1414-(H1414*I2/100),2)</f>
        <v>75.2</v>
      </c>
      <c r="J1414" s="17">
        <v>551</v>
      </c>
      <c r="K1414" s="18"/>
      <c r="L1414" s="18"/>
      <c r="M1414" s="20"/>
      <c r="N1414" s="37">
        <f t="shared" si="66"/>
        <v>0</v>
      </c>
      <c r="O1414" s="21">
        <v>0.1</v>
      </c>
      <c r="P1414" s="22">
        <v>2.0000000000000001E-4</v>
      </c>
    </row>
    <row r="1415" spans="1:16" s="1" customFormat="1" ht="119.1" customHeight="1" outlineLevel="3" x14ac:dyDescent="0.2">
      <c r="A1415" s="11">
        <v>200471</v>
      </c>
      <c r="B1415" s="12" t="s">
        <v>2709</v>
      </c>
      <c r="C1415" s="12" t="s">
        <v>22</v>
      </c>
      <c r="D1415" s="13"/>
      <c r="E1415" s="14" t="s">
        <v>2710</v>
      </c>
      <c r="F1415" s="15" t="s">
        <v>113</v>
      </c>
      <c r="G1415" s="16"/>
      <c r="H1415" s="36">
        <v>369.2</v>
      </c>
      <c r="I1415" s="36">
        <f>ROUND(H1415-(H1415*I2/100),2)</f>
        <v>369.2</v>
      </c>
      <c r="J1415" s="17">
        <v>55</v>
      </c>
      <c r="K1415" s="18"/>
      <c r="L1415" s="18"/>
      <c r="M1415" s="20"/>
      <c r="N1415" s="37">
        <f t="shared" si="66"/>
        <v>0</v>
      </c>
      <c r="O1415" s="21">
        <v>0.15</v>
      </c>
      <c r="P1415" s="22">
        <v>2.0000000000000001E-4</v>
      </c>
    </row>
    <row r="1416" spans="1:16" s="1" customFormat="1" ht="119.1" customHeight="1" outlineLevel="3" x14ac:dyDescent="0.2">
      <c r="A1416" s="11">
        <v>200472</v>
      </c>
      <c r="B1416" s="12" t="s">
        <v>2711</v>
      </c>
      <c r="C1416" s="12" t="s">
        <v>22</v>
      </c>
      <c r="D1416" s="13"/>
      <c r="E1416" s="14" t="s">
        <v>2712</v>
      </c>
      <c r="F1416" s="15" t="s">
        <v>113</v>
      </c>
      <c r="G1416" s="16"/>
      <c r="H1416" s="36">
        <v>426.1</v>
      </c>
      <c r="I1416" s="36">
        <f>ROUND(H1416-(H1416*I2/100),2)</f>
        <v>426.1</v>
      </c>
      <c r="J1416" s="17">
        <v>174</v>
      </c>
      <c r="K1416" s="18"/>
      <c r="L1416" s="18"/>
      <c r="M1416" s="20"/>
      <c r="N1416" s="37">
        <f t="shared" si="66"/>
        <v>0</v>
      </c>
      <c r="O1416" s="21">
        <v>0.2</v>
      </c>
      <c r="P1416" s="22">
        <v>2.0000000000000001E-4</v>
      </c>
    </row>
    <row r="1417" spans="1:16" s="1" customFormat="1" ht="119.1" customHeight="1" outlineLevel="3" x14ac:dyDescent="0.2">
      <c r="A1417" s="11">
        <v>200473</v>
      </c>
      <c r="B1417" s="12" t="s">
        <v>2713</v>
      </c>
      <c r="C1417" s="12" t="s">
        <v>22</v>
      </c>
      <c r="D1417" s="13"/>
      <c r="E1417" s="14" t="s">
        <v>2714</v>
      </c>
      <c r="F1417" s="15" t="s">
        <v>113</v>
      </c>
      <c r="G1417" s="16"/>
      <c r="H1417" s="36">
        <v>950.1</v>
      </c>
      <c r="I1417" s="36">
        <f>ROUND(H1417-(H1417*I2/100),2)</f>
        <v>950.1</v>
      </c>
      <c r="J1417" s="17">
        <v>113</v>
      </c>
      <c r="K1417" s="18"/>
      <c r="L1417" s="18"/>
      <c r="M1417" s="20"/>
      <c r="N1417" s="37">
        <f t="shared" si="66"/>
        <v>0</v>
      </c>
      <c r="O1417" s="21">
        <v>0.3</v>
      </c>
      <c r="P1417" s="22">
        <v>5.0000000000000001E-4</v>
      </c>
    </row>
    <row r="1418" spans="1:16" s="8" customFormat="1" ht="15.95" customHeight="1" x14ac:dyDescent="0.25">
      <c r="A1418" s="9"/>
      <c r="B1418" s="10"/>
      <c r="C1418" s="10"/>
      <c r="D1418" s="10" t="s">
        <v>2715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</row>
    <row r="1419" spans="1:16" s="8" customFormat="1" ht="15.95" customHeight="1" outlineLevel="1" x14ac:dyDescent="0.25">
      <c r="A1419" s="9"/>
      <c r="B1419" s="10"/>
      <c r="C1419" s="10"/>
      <c r="D1419" s="10" t="s">
        <v>2716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</row>
    <row r="1420" spans="1:16" s="1" customFormat="1" ht="119.1" customHeight="1" outlineLevel="2" x14ac:dyDescent="0.2">
      <c r="A1420" s="11">
        <v>196158</v>
      </c>
      <c r="B1420" s="12" t="s">
        <v>2717</v>
      </c>
      <c r="C1420" s="12" t="s">
        <v>50</v>
      </c>
      <c r="D1420" s="13"/>
      <c r="E1420" s="14" t="s">
        <v>2718</v>
      </c>
      <c r="F1420" s="15" t="s">
        <v>24</v>
      </c>
      <c r="G1420" s="16"/>
      <c r="H1420" s="36">
        <v>512.70000000000005</v>
      </c>
      <c r="I1420" s="36">
        <f>ROUND(H1420-(H1420*I2/100),2)</f>
        <v>512.70000000000005</v>
      </c>
      <c r="J1420" s="17">
        <v>19</v>
      </c>
      <c r="K1420" s="18"/>
      <c r="L1420" s="18"/>
      <c r="M1420" s="20"/>
      <c r="N1420" s="37">
        <f>I1420*M1420</f>
        <v>0</v>
      </c>
      <c r="O1420" s="21">
        <v>0.14699999999999999</v>
      </c>
      <c r="P1420" s="22">
        <v>1.2600000000000001E-3</v>
      </c>
    </row>
    <row r="1421" spans="1:16" s="8" customFormat="1" ht="15.95" customHeight="1" outlineLevel="1" x14ac:dyDescent="0.25">
      <c r="A1421" s="9"/>
      <c r="B1421" s="10"/>
      <c r="C1421" s="10"/>
      <c r="D1421" s="10" t="s">
        <v>2719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</row>
    <row r="1422" spans="1:16" s="8" customFormat="1" ht="15.95" customHeight="1" outlineLevel="2" x14ac:dyDescent="0.25">
      <c r="A1422" s="9"/>
      <c r="B1422" s="10"/>
      <c r="C1422" s="10"/>
      <c r="D1422" s="10" t="s">
        <v>2720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</row>
    <row r="1423" spans="1:16" s="1" customFormat="1" ht="119.1" customHeight="1" outlineLevel="3" x14ac:dyDescent="0.2">
      <c r="A1423" s="11">
        <v>182890</v>
      </c>
      <c r="B1423" s="12" t="s">
        <v>2721</v>
      </c>
      <c r="C1423" s="12" t="s">
        <v>22</v>
      </c>
      <c r="D1423" s="13"/>
      <c r="E1423" s="14" t="s">
        <v>2722</v>
      </c>
      <c r="F1423" s="15" t="s">
        <v>160</v>
      </c>
      <c r="G1423" s="16"/>
      <c r="H1423" s="36">
        <v>575</v>
      </c>
      <c r="I1423" s="36">
        <f>ROUND(H1423-(H1423*I2/100),2)</f>
        <v>575</v>
      </c>
      <c r="J1423" s="17">
        <v>5</v>
      </c>
      <c r="K1423" s="18"/>
      <c r="L1423" s="18"/>
      <c r="M1423" s="20"/>
      <c r="N1423" s="37">
        <f>I1423*M1423</f>
        <v>0</v>
      </c>
      <c r="O1423" s="21">
        <v>7.2999999999999995E-2</v>
      </c>
      <c r="P1423" s="22">
        <v>8.1800000000000004E-4</v>
      </c>
    </row>
    <row r="1424" spans="1:16" s="1" customFormat="1" ht="119.1" customHeight="1" outlineLevel="3" x14ac:dyDescent="0.2">
      <c r="A1424" s="11">
        <v>195754</v>
      </c>
      <c r="B1424" s="12" t="s">
        <v>2723</v>
      </c>
      <c r="C1424" s="12" t="s">
        <v>22</v>
      </c>
      <c r="D1424" s="13"/>
      <c r="E1424" s="14" t="s">
        <v>2724</v>
      </c>
      <c r="F1424" s="15" t="s">
        <v>24</v>
      </c>
      <c r="G1424" s="16"/>
      <c r="H1424" s="36">
        <v>215.8</v>
      </c>
      <c r="I1424" s="36">
        <f>ROUND(H1424-(H1424*I2/100),2)</f>
        <v>215.8</v>
      </c>
      <c r="J1424" s="17">
        <v>38</v>
      </c>
      <c r="K1424" s="18"/>
      <c r="L1424" s="18"/>
      <c r="M1424" s="20"/>
      <c r="N1424" s="37">
        <f>I1424*M1424</f>
        <v>0</v>
      </c>
      <c r="O1424" s="21">
        <v>6.3E-2</v>
      </c>
      <c r="P1424" s="22">
        <v>1.46E-4</v>
      </c>
    </row>
    <row r="1425" spans="1:16" s="8" customFormat="1" ht="15.95" customHeight="1" outlineLevel="1" x14ac:dyDescent="0.25">
      <c r="A1425" s="9"/>
      <c r="B1425" s="10"/>
      <c r="C1425" s="10"/>
      <c r="D1425" s="10" t="s">
        <v>2725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</row>
    <row r="1426" spans="1:16" s="1" customFormat="1" ht="119.1" customHeight="1" outlineLevel="2" x14ac:dyDescent="0.2">
      <c r="A1426" s="11">
        <v>196168</v>
      </c>
      <c r="B1426" s="12" t="s">
        <v>2726</v>
      </c>
      <c r="C1426" s="12" t="s">
        <v>22</v>
      </c>
      <c r="D1426" s="13"/>
      <c r="E1426" s="14" t="s">
        <v>2727</v>
      </c>
      <c r="F1426" s="15" t="s">
        <v>24</v>
      </c>
      <c r="G1426" s="16"/>
      <c r="H1426" s="36">
        <v>16941</v>
      </c>
      <c r="I1426" s="36">
        <f>ROUND(H1426-(H1426*I2/100),2)</f>
        <v>16941</v>
      </c>
      <c r="J1426" s="17">
        <v>3</v>
      </c>
      <c r="K1426" s="18"/>
      <c r="L1426" s="18"/>
      <c r="M1426" s="20"/>
      <c r="N1426" s="37">
        <f t="shared" ref="N1426:N1431" si="67">I1426*M1426</f>
        <v>0</v>
      </c>
      <c r="O1426" s="21">
        <v>13</v>
      </c>
      <c r="P1426" s="22">
        <v>0.19047700000000001</v>
      </c>
    </row>
    <row r="1427" spans="1:16" s="1" customFormat="1" ht="119.1" customHeight="1" outlineLevel="2" x14ac:dyDescent="0.2">
      <c r="A1427" s="11">
        <v>214988</v>
      </c>
      <c r="B1427" s="12" t="s">
        <v>2728</v>
      </c>
      <c r="C1427" s="12" t="s">
        <v>22</v>
      </c>
      <c r="D1427" s="13"/>
      <c r="E1427" s="14" t="s">
        <v>2729</v>
      </c>
      <c r="F1427" s="15" t="s">
        <v>24</v>
      </c>
      <c r="G1427" s="16"/>
      <c r="H1427" s="36">
        <v>3269.3</v>
      </c>
      <c r="I1427" s="36">
        <f>ROUND(H1427-(H1427*I2/100),2)</f>
        <v>3269.3</v>
      </c>
      <c r="J1427" s="17">
        <v>23</v>
      </c>
      <c r="K1427" s="18"/>
      <c r="L1427" s="18"/>
      <c r="M1427" s="20"/>
      <c r="N1427" s="37">
        <f t="shared" si="67"/>
        <v>0</v>
      </c>
      <c r="O1427" s="21">
        <v>5</v>
      </c>
      <c r="P1427" s="22">
        <v>2E-3</v>
      </c>
    </row>
    <row r="1428" spans="1:16" s="1" customFormat="1" ht="119.1" customHeight="1" outlineLevel="2" x14ac:dyDescent="0.2">
      <c r="A1428" s="11">
        <v>214989</v>
      </c>
      <c r="B1428" s="12" t="s">
        <v>2730</v>
      </c>
      <c r="C1428" s="12" t="s">
        <v>22</v>
      </c>
      <c r="D1428" s="13"/>
      <c r="E1428" s="14" t="s">
        <v>2731</v>
      </c>
      <c r="F1428" s="15" t="s">
        <v>24</v>
      </c>
      <c r="G1428" s="16"/>
      <c r="H1428" s="36">
        <v>4407</v>
      </c>
      <c r="I1428" s="36">
        <f>ROUND(H1428-(H1428*I2/100),2)</f>
        <v>4407</v>
      </c>
      <c r="J1428" s="17">
        <v>39</v>
      </c>
      <c r="K1428" s="18"/>
      <c r="L1428" s="18"/>
      <c r="M1428" s="20"/>
      <c r="N1428" s="37">
        <f t="shared" si="67"/>
        <v>0</v>
      </c>
      <c r="O1428" s="21">
        <v>6</v>
      </c>
      <c r="P1428" s="22">
        <v>3.0000000000000001E-3</v>
      </c>
    </row>
    <row r="1429" spans="1:16" s="1" customFormat="1" ht="119.1" customHeight="1" outlineLevel="2" x14ac:dyDescent="0.2">
      <c r="A1429" s="11">
        <v>198698</v>
      </c>
      <c r="B1429" s="12" t="s">
        <v>2732</v>
      </c>
      <c r="C1429" s="12" t="s">
        <v>22</v>
      </c>
      <c r="D1429" s="13"/>
      <c r="E1429" s="14" t="s">
        <v>2733</v>
      </c>
      <c r="F1429" s="15" t="s">
        <v>24</v>
      </c>
      <c r="G1429" s="16"/>
      <c r="H1429" s="36">
        <v>5384.2</v>
      </c>
      <c r="I1429" s="36">
        <f>ROUND(H1429-(H1429*I2/100),2)</f>
        <v>5384.2</v>
      </c>
      <c r="J1429" s="17">
        <v>40</v>
      </c>
      <c r="K1429" s="18"/>
      <c r="L1429" s="18"/>
      <c r="M1429" s="20"/>
      <c r="N1429" s="37">
        <f t="shared" si="67"/>
        <v>0</v>
      </c>
      <c r="O1429" s="21">
        <v>8</v>
      </c>
      <c r="P1429" s="22">
        <v>5.0000000000000001E-3</v>
      </c>
    </row>
    <row r="1430" spans="1:16" s="1" customFormat="1" ht="119.1" customHeight="1" outlineLevel="2" x14ac:dyDescent="0.2">
      <c r="A1430" s="11">
        <v>198699</v>
      </c>
      <c r="B1430" s="12" t="s">
        <v>2734</v>
      </c>
      <c r="C1430" s="12" t="s">
        <v>22</v>
      </c>
      <c r="D1430" s="13"/>
      <c r="E1430" s="14" t="s">
        <v>2735</v>
      </c>
      <c r="F1430" s="15" t="s">
        <v>24</v>
      </c>
      <c r="G1430" s="16"/>
      <c r="H1430" s="36">
        <v>6832.4</v>
      </c>
      <c r="I1430" s="36">
        <f>ROUND(H1430-(H1430*I2/100),2)</f>
        <v>6832.4</v>
      </c>
      <c r="J1430" s="17">
        <v>35</v>
      </c>
      <c r="K1430" s="18"/>
      <c r="L1430" s="18"/>
      <c r="M1430" s="20"/>
      <c r="N1430" s="37">
        <f t="shared" si="67"/>
        <v>0</v>
      </c>
      <c r="O1430" s="21">
        <v>10</v>
      </c>
      <c r="P1430" s="22">
        <v>8.0000000000000002E-3</v>
      </c>
    </row>
    <row r="1431" spans="1:16" s="1" customFormat="1" ht="119.1" customHeight="1" outlineLevel="2" x14ac:dyDescent="0.2">
      <c r="A1431" s="11">
        <v>198700</v>
      </c>
      <c r="B1431" s="12" t="s">
        <v>2736</v>
      </c>
      <c r="C1431" s="12" t="s">
        <v>22</v>
      </c>
      <c r="D1431" s="13"/>
      <c r="E1431" s="14" t="s">
        <v>2737</v>
      </c>
      <c r="F1431" s="15" t="s">
        <v>24</v>
      </c>
      <c r="G1431" s="16"/>
      <c r="H1431" s="36">
        <v>8537.5</v>
      </c>
      <c r="I1431" s="36">
        <f>ROUND(H1431-(H1431*I2/100),2)</f>
        <v>8537.5</v>
      </c>
      <c r="J1431" s="17">
        <v>44</v>
      </c>
      <c r="K1431" s="18"/>
      <c r="L1431" s="18"/>
      <c r="M1431" s="20"/>
      <c r="N1431" s="37">
        <f t="shared" si="67"/>
        <v>0</v>
      </c>
      <c r="O1431" s="21">
        <v>12</v>
      </c>
      <c r="P1431" s="22">
        <v>0.02</v>
      </c>
    </row>
    <row r="1432" spans="1:16" s="8" customFormat="1" ht="15.95" customHeight="1" x14ac:dyDescent="0.25">
      <c r="A1432" s="9"/>
      <c r="B1432" s="10"/>
      <c r="C1432" s="10"/>
      <c r="D1432" s="10" t="s">
        <v>2738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</row>
    <row r="1433" spans="1:16" s="8" customFormat="1" ht="15.95" customHeight="1" outlineLevel="1" x14ac:dyDescent="0.25">
      <c r="A1433" s="9"/>
      <c r="B1433" s="10"/>
      <c r="C1433" s="10"/>
      <c r="D1433" s="10" t="s">
        <v>2739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</row>
    <row r="1434" spans="1:16" s="8" customFormat="1" ht="15.95" customHeight="1" outlineLevel="2" x14ac:dyDescent="0.25">
      <c r="A1434" s="9"/>
      <c r="B1434" s="10"/>
      <c r="C1434" s="10"/>
      <c r="D1434" s="10" t="s">
        <v>2740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</row>
    <row r="1435" spans="1:16" s="1" customFormat="1" ht="119.1" customHeight="1" outlineLevel="3" x14ac:dyDescent="0.2">
      <c r="A1435" s="11">
        <v>187939</v>
      </c>
      <c r="B1435" s="12" t="s">
        <v>2741</v>
      </c>
      <c r="C1435" s="12" t="s">
        <v>22</v>
      </c>
      <c r="D1435" s="23"/>
      <c r="E1435" s="24" t="s">
        <v>2742</v>
      </c>
      <c r="F1435" s="25" t="s">
        <v>24</v>
      </c>
      <c r="G1435" s="26" t="s">
        <v>39</v>
      </c>
      <c r="H1435" s="36">
        <v>213.9</v>
      </c>
      <c r="I1435" s="36">
        <f>H1435</f>
        <v>213.9</v>
      </c>
      <c r="J1435" s="17">
        <v>54</v>
      </c>
      <c r="K1435" s="18"/>
      <c r="L1435" s="18"/>
      <c r="M1435" s="20"/>
      <c r="N1435" s="37">
        <f>I1435*M1435</f>
        <v>0</v>
      </c>
      <c r="O1435" s="21">
        <v>0.24</v>
      </c>
      <c r="P1435" s="22">
        <v>1.116E-3</v>
      </c>
    </row>
    <row r="1436" spans="1:16" s="8" customFormat="1" ht="15.95" customHeight="1" outlineLevel="2" x14ac:dyDescent="0.25">
      <c r="A1436" s="9"/>
      <c r="B1436" s="10"/>
      <c r="C1436" s="10"/>
      <c r="D1436" s="10" t="s">
        <v>2743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</row>
    <row r="1437" spans="1:16" s="1" customFormat="1" ht="119.1" customHeight="1" outlineLevel="3" x14ac:dyDescent="0.2">
      <c r="A1437" s="11">
        <v>187940</v>
      </c>
      <c r="B1437" s="12" t="s">
        <v>2744</v>
      </c>
      <c r="C1437" s="12" t="s">
        <v>22</v>
      </c>
      <c r="D1437" s="23"/>
      <c r="E1437" s="24" t="s">
        <v>2745</v>
      </c>
      <c r="F1437" s="25" t="s">
        <v>24</v>
      </c>
      <c r="G1437" s="26" t="s">
        <v>39</v>
      </c>
      <c r="H1437" s="36">
        <v>213.9</v>
      </c>
      <c r="I1437" s="36">
        <f>H1437</f>
        <v>213.9</v>
      </c>
      <c r="J1437" s="17">
        <v>66</v>
      </c>
      <c r="K1437" s="18"/>
      <c r="L1437" s="18"/>
      <c r="M1437" s="20"/>
      <c r="N1437" s="37">
        <f>I1437*M1437</f>
        <v>0</v>
      </c>
      <c r="O1437" s="21">
        <v>0.317</v>
      </c>
      <c r="P1437" s="22">
        <v>3.8040000000000001E-3</v>
      </c>
    </row>
    <row r="1438" spans="1:16" s="8" customFormat="1" ht="15.95" customHeight="1" outlineLevel="2" x14ac:dyDescent="0.25">
      <c r="A1438" s="9"/>
      <c r="B1438" s="10"/>
      <c r="C1438" s="10"/>
      <c r="D1438" s="10" t="s">
        <v>2746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</row>
    <row r="1439" spans="1:16" s="1" customFormat="1" ht="119.1" customHeight="1" outlineLevel="3" x14ac:dyDescent="0.2">
      <c r="A1439" s="11">
        <v>208246</v>
      </c>
      <c r="B1439" s="12" t="s">
        <v>2747</v>
      </c>
      <c r="C1439" s="12" t="s">
        <v>22</v>
      </c>
      <c r="D1439" s="13"/>
      <c r="E1439" s="14" t="s">
        <v>2748</v>
      </c>
      <c r="F1439" s="15" t="s">
        <v>24</v>
      </c>
      <c r="G1439" s="16"/>
      <c r="H1439" s="36">
        <v>3034.8</v>
      </c>
      <c r="I1439" s="36">
        <f>ROUND(H1439-(H1439*I2/100),2)</f>
        <v>3034.8</v>
      </c>
      <c r="J1439" s="17">
        <v>144</v>
      </c>
      <c r="K1439" s="18"/>
      <c r="L1439" s="18"/>
      <c r="M1439" s="20"/>
      <c r="N1439" s="37">
        <f t="shared" ref="N1439:N1448" si="68">I1439*M1439</f>
        <v>0</v>
      </c>
      <c r="O1439" s="21">
        <v>2</v>
      </c>
      <c r="P1439" s="22">
        <v>0.01</v>
      </c>
    </row>
    <row r="1440" spans="1:16" s="1" customFormat="1" ht="119.1" customHeight="1" outlineLevel="3" x14ac:dyDescent="0.2">
      <c r="A1440" s="11">
        <v>216961</v>
      </c>
      <c r="B1440" s="12" t="s">
        <v>2749</v>
      </c>
      <c r="C1440" s="12" t="s">
        <v>50</v>
      </c>
      <c r="D1440" s="13"/>
      <c r="E1440" s="14" t="s">
        <v>2750</v>
      </c>
      <c r="F1440" s="15" t="s">
        <v>24</v>
      </c>
      <c r="G1440" s="16"/>
      <c r="H1440" s="36">
        <v>256.89999999999998</v>
      </c>
      <c r="I1440" s="36">
        <f>ROUND(H1440-(H1440*I2/100),2)</f>
        <v>256.89999999999998</v>
      </c>
      <c r="J1440" s="17">
        <v>30</v>
      </c>
      <c r="K1440" s="18"/>
      <c r="L1440" s="18"/>
      <c r="M1440" s="20"/>
      <c r="N1440" s="37">
        <f t="shared" si="68"/>
        <v>0</v>
      </c>
      <c r="O1440" s="21">
        <v>0.16700000000000001</v>
      </c>
      <c r="P1440" s="22">
        <v>2.0049999999999998E-3</v>
      </c>
    </row>
    <row r="1441" spans="1:16" s="1" customFormat="1" ht="119.1" customHeight="1" outlineLevel="3" x14ac:dyDescent="0.2">
      <c r="A1441" s="11">
        <v>182896</v>
      </c>
      <c r="B1441" s="12" t="s">
        <v>2751</v>
      </c>
      <c r="C1441" s="12" t="s">
        <v>22</v>
      </c>
      <c r="D1441" s="23"/>
      <c r="E1441" s="24" t="s">
        <v>2752</v>
      </c>
      <c r="F1441" s="25" t="s">
        <v>24</v>
      </c>
      <c r="G1441" s="26" t="s">
        <v>39</v>
      </c>
      <c r="H1441" s="36">
        <v>354.9</v>
      </c>
      <c r="I1441" s="36">
        <f>H1441</f>
        <v>354.9</v>
      </c>
      <c r="J1441" s="17">
        <v>796</v>
      </c>
      <c r="K1441" s="18"/>
      <c r="L1441" s="18"/>
      <c r="M1441" s="20"/>
      <c r="N1441" s="37">
        <f t="shared" si="68"/>
        <v>0</v>
      </c>
      <c r="O1441" s="21">
        <v>0.253</v>
      </c>
      <c r="P1441" s="22">
        <v>4.8700000000000002E-4</v>
      </c>
    </row>
    <row r="1442" spans="1:16" s="1" customFormat="1" ht="119.1" customHeight="1" outlineLevel="3" x14ac:dyDescent="0.2">
      <c r="A1442" s="11">
        <v>214225</v>
      </c>
      <c r="B1442" s="12" t="s">
        <v>2753</v>
      </c>
      <c r="C1442" s="12" t="s">
        <v>50</v>
      </c>
      <c r="D1442" s="13"/>
      <c r="E1442" s="14" t="s">
        <v>2754</v>
      </c>
      <c r="F1442" s="15" t="s">
        <v>24</v>
      </c>
      <c r="G1442" s="16"/>
      <c r="H1442" s="36">
        <v>642.6</v>
      </c>
      <c r="I1442" s="36">
        <f>ROUND(H1442-(H1442*I2/100),2)</f>
        <v>642.6</v>
      </c>
      <c r="J1442" s="17">
        <v>361</v>
      </c>
      <c r="K1442" s="18"/>
      <c r="L1442" s="18"/>
      <c r="M1442" s="20"/>
      <c r="N1442" s="37">
        <f t="shared" si="68"/>
        <v>0</v>
      </c>
      <c r="O1442" s="21">
        <v>0.2</v>
      </c>
      <c r="P1442" s="22">
        <v>5.0000000000000001E-4</v>
      </c>
    </row>
    <row r="1443" spans="1:16" s="1" customFormat="1" ht="119.1" customHeight="1" outlineLevel="3" x14ac:dyDescent="0.2">
      <c r="A1443" s="11">
        <v>169160</v>
      </c>
      <c r="B1443" s="12" t="s">
        <v>2755</v>
      </c>
      <c r="C1443" s="12" t="s">
        <v>22</v>
      </c>
      <c r="D1443" s="13"/>
      <c r="E1443" s="14" t="s">
        <v>2756</v>
      </c>
      <c r="F1443" s="15" t="s">
        <v>24</v>
      </c>
      <c r="G1443" s="16"/>
      <c r="H1443" s="36">
        <v>671.1</v>
      </c>
      <c r="I1443" s="36">
        <f>ROUND(H1443-(H1443*I2/100),2)</f>
        <v>671.1</v>
      </c>
      <c r="J1443" s="17">
        <v>5</v>
      </c>
      <c r="K1443" s="18"/>
      <c r="L1443" s="18"/>
      <c r="M1443" s="20"/>
      <c r="N1443" s="37">
        <f t="shared" si="68"/>
        <v>0</v>
      </c>
      <c r="O1443" s="21">
        <v>0.27600000000000002</v>
      </c>
      <c r="P1443" s="22">
        <v>4.8700000000000002E-4</v>
      </c>
    </row>
    <row r="1444" spans="1:16" s="1" customFormat="1" ht="119.1" customHeight="1" outlineLevel="3" x14ac:dyDescent="0.2">
      <c r="A1444" s="11">
        <v>183274</v>
      </c>
      <c r="B1444" s="12" t="s">
        <v>2757</v>
      </c>
      <c r="C1444" s="12" t="s">
        <v>22</v>
      </c>
      <c r="D1444" s="13"/>
      <c r="E1444" s="14" t="s">
        <v>2758</v>
      </c>
      <c r="F1444" s="15" t="s">
        <v>24</v>
      </c>
      <c r="G1444" s="16"/>
      <c r="H1444" s="36">
        <v>429.2</v>
      </c>
      <c r="I1444" s="36">
        <f>ROUND(H1444-(H1444*I2/100),2)</f>
        <v>429.2</v>
      </c>
      <c r="J1444" s="17">
        <v>602</v>
      </c>
      <c r="K1444" s="18"/>
      <c r="L1444" s="18"/>
      <c r="M1444" s="20"/>
      <c r="N1444" s="37">
        <f t="shared" si="68"/>
        <v>0</v>
      </c>
      <c r="O1444" s="21">
        <v>0.24</v>
      </c>
      <c r="P1444" s="22">
        <v>4.8700000000000002E-4</v>
      </c>
    </row>
    <row r="1445" spans="1:16" s="1" customFormat="1" ht="119.1" customHeight="1" outlineLevel="3" x14ac:dyDescent="0.2">
      <c r="A1445" s="11">
        <v>182899</v>
      </c>
      <c r="B1445" s="12" t="s">
        <v>2759</v>
      </c>
      <c r="C1445" s="12" t="s">
        <v>22</v>
      </c>
      <c r="D1445" s="13"/>
      <c r="E1445" s="14" t="s">
        <v>2760</v>
      </c>
      <c r="F1445" s="15" t="s">
        <v>24</v>
      </c>
      <c r="G1445" s="16"/>
      <c r="H1445" s="36">
        <v>1189.9000000000001</v>
      </c>
      <c r="I1445" s="36">
        <f>ROUND(H1445-(H1445*I2/100),2)</f>
        <v>1189.9000000000001</v>
      </c>
      <c r="J1445" s="17">
        <v>46</v>
      </c>
      <c r="K1445" s="18"/>
      <c r="L1445" s="18"/>
      <c r="M1445" s="20"/>
      <c r="N1445" s="37">
        <f t="shared" si="68"/>
        <v>0</v>
      </c>
      <c r="O1445" s="21">
        <v>1.042</v>
      </c>
      <c r="P1445" s="22">
        <v>6.2249999999999996E-3</v>
      </c>
    </row>
    <row r="1446" spans="1:16" s="1" customFormat="1" ht="119.1" customHeight="1" outlineLevel="3" x14ac:dyDescent="0.2">
      <c r="A1446" s="11">
        <v>169162</v>
      </c>
      <c r="B1446" s="12" t="s">
        <v>2761</v>
      </c>
      <c r="C1446" s="12" t="s">
        <v>22</v>
      </c>
      <c r="D1446" s="13"/>
      <c r="E1446" s="14" t="s">
        <v>2762</v>
      </c>
      <c r="F1446" s="15" t="s">
        <v>24</v>
      </c>
      <c r="G1446" s="16"/>
      <c r="H1446" s="36">
        <v>1534.9</v>
      </c>
      <c r="I1446" s="36">
        <f>ROUND(H1446-(H1446*I2/100),2)</f>
        <v>1534.9</v>
      </c>
      <c r="J1446" s="17">
        <v>1</v>
      </c>
      <c r="K1446" s="18"/>
      <c r="L1446" s="18"/>
      <c r="M1446" s="20"/>
      <c r="N1446" s="37">
        <f t="shared" si="68"/>
        <v>0</v>
      </c>
      <c r="O1446" s="21">
        <v>1.25</v>
      </c>
      <c r="P1446" s="22">
        <v>5.4120000000000001E-3</v>
      </c>
    </row>
    <row r="1447" spans="1:16" s="1" customFormat="1" ht="119.1" customHeight="1" outlineLevel="3" x14ac:dyDescent="0.2">
      <c r="A1447" s="11">
        <v>169163</v>
      </c>
      <c r="B1447" s="12" t="s">
        <v>2763</v>
      </c>
      <c r="C1447" s="12" t="s">
        <v>22</v>
      </c>
      <c r="D1447" s="13"/>
      <c r="E1447" s="14" t="s">
        <v>2764</v>
      </c>
      <c r="F1447" s="15" t="s">
        <v>24</v>
      </c>
      <c r="G1447" s="16"/>
      <c r="H1447" s="36">
        <v>1929.8</v>
      </c>
      <c r="I1447" s="36">
        <f>ROUND(H1447-(H1447*I2/100),2)</f>
        <v>1929.8</v>
      </c>
      <c r="J1447" s="17">
        <v>12</v>
      </c>
      <c r="K1447" s="18"/>
      <c r="L1447" s="18"/>
      <c r="M1447" s="20"/>
      <c r="N1447" s="37">
        <f t="shared" si="68"/>
        <v>0</v>
      </c>
      <c r="O1447" s="21">
        <v>1.829</v>
      </c>
      <c r="P1447" s="22">
        <v>6.156E-3</v>
      </c>
    </row>
    <row r="1448" spans="1:16" s="1" customFormat="1" ht="119.1" customHeight="1" outlineLevel="3" x14ac:dyDescent="0.2">
      <c r="A1448" s="11">
        <v>169180</v>
      </c>
      <c r="B1448" s="12" t="s">
        <v>2765</v>
      </c>
      <c r="C1448" s="12" t="s">
        <v>22</v>
      </c>
      <c r="D1448" s="13"/>
      <c r="E1448" s="14" t="s">
        <v>2766</v>
      </c>
      <c r="F1448" s="15" t="s">
        <v>24</v>
      </c>
      <c r="G1448" s="16"/>
      <c r="H1448" s="36">
        <v>2282.9</v>
      </c>
      <c r="I1448" s="36">
        <f>ROUND(H1448-(H1448*I2/100),2)</f>
        <v>2282.9</v>
      </c>
      <c r="J1448" s="17">
        <v>44</v>
      </c>
      <c r="K1448" s="18"/>
      <c r="L1448" s="18"/>
      <c r="M1448" s="20"/>
      <c r="N1448" s="37">
        <f t="shared" si="68"/>
        <v>0</v>
      </c>
      <c r="O1448" s="21">
        <v>1.9</v>
      </c>
      <c r="P1448" s="22">
        <v>1.0800000000000001E-2</v>
      </c>
    </row>
    <row r="1449" spans="1:16" s="8" customFormat="1" ht="15.95" customHeight="1" outlineLevel="1" x14ac:dyDescent="0.25">
      <c r="A1449" s="9"/>
      <c r="B1449" s="10"/>
      <c r="C1449" s="10"/>
      <c r="D1449" s="10" t="s">
        <v>2767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</row>
    <row r="1450" spans="1:16" s="8" customFormat="1" ht="15.95" customHeight="1" outlineLevel="2" x14ac:dyDescent="0.25">
      <c r="A1450" s="9"/>
      <c r="B1450" s="10"/>
      <c r="C1450" s="10"/>
      <c r="D1450" s="10" t="s">
        <v>2768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</row>
    <row r="1451" spans="1:16" s="1" customFormat="1" ht="119.1" customHeight="1" outlineLevel="3" x14ac:dyDescent="0.2">
      <c r="A1451" s="11">
        <v>199649</v>
      </c>
      <c r="B1451" s="12" t="s">
        <v>2769</v>
      </c>
      <c r="C1451" s="12" t="s">
        <v>22</v>
      </c>
      <c r="D1451" s="13"/>
      <c r="E1451" s="14" t="s">
        <v>2770</v>
      </c>
      <c r="F1451" s="15" t="s">
        <v>24</v>
      </c>
      <c r="G1451" s="16"/>
      <c r="H1451" s="36">
        <v>2137.6999999999998</v>
      </c>
      <c r="I1451" s="36">
        <f>ROUND(H1451-(H1451*I2/100),2)</f>
        <v>2137.6999999999998</v>
      </c>
      <c r="J1451" s="17">
        <v>1</v>
      </c>
      <c r="K1451" s="18"/>
      <c r="L1451" s="18"/>
      <c r="M1451" s="20"/>
      <c r="N1451" s="37">
        <f>I1451*M1451</f>
        <v>0</v>
      </c>
      <c r="O1451" s="21">
        <v>1.5</v>
      </c>
      <c r="P1451" s="22">
        <v>0.02</v>
      </c>
    </row>
    <row r="1452" spans="1:16" s="1" customFormat="1" ht="119.1" customHeight="1" outlineLevel="3" x14ac:dyDescent="0.2">
      <c r="A1452" s="11">
        <v>211325</v>
      </c>
      <c r="B1452" s="12" t="s">
        <v>2771</v>
      </c>
      <c r="C1452" s="12" t="s">
        <v>50</v>
      </c>
      <c r="D1452" s="13"/>
      <c r="E1452" s="14" t="s">
        <v>2772</v>
      </c>
      <c r="F1452" s="15" t="s">
        <v>24</v>
      </c>
      <c r="G1452" s="16"/>
      <c r="H1452" s="36">
        <v>2739.8</v>
      </c>
      <c r="I1452" s="36">
        <f>ROUND(H1452-(H1452*I2/100),2)</f>
        <v>2739.8</v>
      </c>
      <c r="J1452" s="17">
        <v>19</v>
      </c>
      <c r="K1452" s="18"/>
      <c r="L1452" s="18"/>
      <c r="M1452" s="20"/>
      <c r="N1452" s="37">
        <f>I1452*M1452</f>
        <v>0</v>
      </c>
      <c r="O1452" s="21">
        <v>2.5</v>
      </c>
      <c r="P1452" s="22">
        <v>4.3450000000000003E-2</v>
      </c>
    </row>
    <row r="1453" spans="1:16" s="1" customFormat="1" ht="119.1" customHeight="1" outlineLevel="3" x14ac:dyDescent="0.2">
      <c r="A1453" s="11">
        <v>211326</v>
      </c>
      <c r="B1453" s="12" t="s">
        <v>2773</v>
      </c>
      <c r="C1453" s="12" t="s">
        <v>50</v>
      </c>
      <c r="D1453" s="13"/>
      <c r="E1453" s="14" t="s">
        <v>2774</v>
      </c>
      <c r="F1453" s="15" t="s">
        <v>24</v>
      </c>
      <c r="G1453" s="16"/>
      <c r="H1453" s="36">
        <v>2990.4</v>
      </c>
      <c r="I1453" s="36">
        <f>ROUND(H1453-(H1453*I2/100),2)</f>
        <v>2990.4</v>
      </c>
      <c r="J1453" s="17">
        <v>25</v>
      </c>
      <c r="K1453" s="18"/>
      <c r="L1453" s="18"/>
      <c r="M1453" s="20"/>
      <c r="N1453" s="37">
        <f>I1453*M1453</f>
        <v>0</v>
      </c>
      <c r="O1453" s="21">
        <v>2.8</v>
      </c>
      <c r="P1453" s="22">
        <v>4.9534000000000002E-2</v>
      </c>
    </row>
    <row r="1454" spans="1:16" s="8" customFormat="1" ht="15.95" customHeight="1" outlineLevel="2" x14ac:dyDescent="0.25">
      <c r="A1454" s="9"/>
      <c r="B1454" s="10"/>
      <c r="C1454" s="10"/>
      <c r="D1454" s="10" t="s">
        <v>2775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</row>
    <row r="1455" spans="1:16" s="1" customFormat="1" ht="119.1" customHeight="1" outlineLevel="3" x14ac:dyDescent="0.2">
      <c r="A1455" s="11">
        <v>187946</v>
      </c>
      <c r="B1455" s="12" t="s">
        <v>2776</v>
      </c>
      <c r="C1455" s="12" t="s">
        <v>22</v>
      </c>
      <c r="D1455" s="23"/>
      <c r="E1455" s="24" t="s">
        <v>2777</v>
      </c>
      <c r="F1455" s="25" t="s">
        <v>24</v>
      </c>
      <c r="G1455" s="26" t="s">
        <v>39</v>
      </c>
      <c r="H1455" s="36">
        <v>523.9</v>
      </c>
      <c r="I1455" s="36">
        <f>H1455</f>
        <v>523.9</v>
      </c>
      <c r="J1455" s="17">
        <v>55</v>
      </c>
      <c r="K1455" s="18"/>
      <c r="L1455" s="18"/>
      <c r="M1455" s="20"/>
      <c r="N1455" s="37">
        <f>I1455*M1455</f>
        <v>0</v>
      </c>
      <c r="O1455" s="21">
        <v>0.253</v>
      </c>
      <c r="P1455" s="22">
        <v>1.8060000000000001E-3</v>
      </c>
    </row>
    <row r="1456" spans="1:16" s="8" customFormat="1" ht="15.95" customHeight="1" x14ac:dyDescent="0.25">
      <c r="A1456" s="9"/>
      <c r="B1456" s="10"/>
      <c r="C1456" s="10"/>
      <c r="D1456" s="10" t="s">
        <v>2778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</row>
    <row r="1457" spans="1:16" s="8" customFormat="1" ht="15.95" customHeight="1" outlineLevel="1" x14ac:dyDescent="0.25">
      <c r="A1457" s="9"/>
      <c r="B1457" s="10"/>
      <c r="C1457" s="10"/>
      <c r="D1457" s="10" t="s">
        <v>2779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</row>
    <row r="1458" spans="1:16" s="8" customFormat="1" ht="15.95" customHeight="1" outlineLevel="2" x14ac:dyDescent="0.25">
      <c r="A1458" s="9"/>
      <c r="B1458" s="10"/>
      <c r="C1458" s="10"/>
      <c r="D1458" s="10" t="s">
        <v>2780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</row>
    <row r="1459" spans="1:16" s="8" customFormat="1" ht="15.95" customHeight="1" outlineLevel="3" x14ac:dyDescent="0.25">
      <c r="A1459" s="9"/>
      <c r="B1459" s="10"/>
      <c r="C1459" s="10"/>
      <c r="D1459" s="10" t="s">
        <v>2781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</row>
    <row r="1460" spans="1:16" s="1" customFormat="1" ht="119.1" customHeight="1" outlineLevel="4" x14ac:dyDescent="0.2">
      <c r="A1460" s="11">
        <v>187885</v>
      </c>
      <c r="B1460" s="12" t="s">
        <v>2782</v>
      </c>
      <c r="C1460" s="12" t="s">
        <v>22</v>
      </c>
      <c r="D1460" s="13"/>
      <c r="E1460" s="14" t="s">
        <v>2783</v>
      </c>
      <c r="F1460" s="15" t="s">
        <v>24</v>
      </c>
      <c r="G1460" s="16"/>
      <c r="H1460" s="36">
        <v>860.5</v>
      </c>
      <c r="I1460" s="36">
        <f>ROUND(H1460-(H1460*I2/100),2)</f>
        <v>860.5</v>
      </c>
      <c r="J1460" s="17">
        <v>116</v>
      </c>
      <c r="K1460" s="18"/>
      <c r="L1460" s="18"/>
      <c r="M1460" s="20"/>
      <c r="N1460" s="37">
        <f>I1460*M1460</f>
        <v>0</v>
      </c>
      <c r="O1460" s="21">
        <v>0.50800000000000001</v>
      </c>
      <c r="P1460" s="22">
        <v>7.2800000000000002E-4</v>
      </c>
    </row>
    <row r="1461" spans="1:16" s="8" customFormat="1" ht="15.95" customHeight="1" outlineLevel="1" x14ac:dyDescent="0.25">
      <c r="A1461" s="9"/>
      <c r="B1461" s="10"/>
      <c r="C1461" s="10"/>
      <c r="D1461" s="10" t="s">
        <v>2784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</row>
    <row r="1462" spans="1:16" s="1" customFormat="1" ht="119.1" customHeight="1" outlineLevel="2" x14ac:dyDescent="0.2">
      <c r="A1462" s="11">
        <v>207375</v>
      </c>
      <c r="B1462" s="12" t="s">
        <v>2785</v>
      </c>
      <c r="C1462" s="12" t="s">
        <v>50</v>
      </c>
      <c r="D1462" s="13"/>
      <c r="E1462" s="14" t="s">
        <v>2786</v>
      </c>
      <c r="F1462" s="15" t="s">
        <v>24</v>
      </c>
      <c r="G1462" s="16"/>
      <c r="H1462" s="36">
        <v>17.7</v>
      </c>
      <c r="I1462" s="36">
        <f>ROUND(H1462-(H1462*I2/100),2)</f>
        <v>17.7</v>
      </c>
      <c r="J1462" s="17">
        <v>400</v>
      </c>
      <c r="K1462" s="18"/>
      <c r="L1462" s="18"/>
      <c r="M1462" s="20"/>
      <c r="N1462" s="37">
        <f t="shared" ref="N1462:N1467" si="69">I1462*M1462</f>
        <v>0</v>
      </c>
      <c r="O1462" s="21">
        <v>1.2E-2</v>
      </c>
      <c r="P1462" s="22">
        <v>4.0000000000000003E-5</v>
      </c>
    </row>
    <row r="1463" spans="1:16" s="1" customFormat="1" ht="119.1" customHeight="1" outlineLevel="2" x14ac:dyDescent="0.2">
      <c r="A1463" s="11">
        <v>207376</v>
      </c>
      <c r="B1463" s="12" t="s">
        <v>2787</v>
      </c>
      <c r="C1463" s="12" t="s">
        <v>50</v>
      </c>
      <c r="D1463" s="13"/>
      <c r="E1463" s="14" t="s">
        <v>2788</v>
      </c>
      <c r="F1463" s="15" t="s">
        <v>24</v>
      </c>
      <c r="G1463" s="16"/>
      <c r="H1463" s="36">
        <v>24.4</v>
      </c>
      <c r="I1463" s="36">
        <f>ROUND(H1463-(H1463*I2/100),2)</f>
        <v>24.4</v>
      </c>
      <c r="J1463" s="17">
        <v>290</v>
      </c>
      <c r="K1463" s="18"/>
      <c r="L1463" s="18"/>
      <c r="M1463" s="20"/>
      <c r="N1463" s="37">
        <f t="shared" si="69"/>
        <v>0</v>
      </c>
      <c r="O1463" s="21">
        <v>1.2E-2</v>
      </c>
      <c r="P1463" s="22">
        <v>4.0000000000000003E-5</v>
      </c>
    </row>
    <row r="1464" spans="1:16" s="1" customFormat="1" ht="119.1" customHeight="1" outlineLevel="2" x14ac:dyDescent="0.2">
      <c r="A1464" s="11">
        <v>207377</v>
      </c>
      <c r="B1464" s="12" t="s">
        <v>2789</v>
      </c>
      <c r="C1464" s="12" t="s">
        <v>50</v>
      </c>
      <c r="D1464" s="13"/>
      <c r="E1464" s="14" t="s">
        <v>2790</v>
      </c>
      <c r="F1464" s="15" t="s">
        <v>24</v>
      </c>
      <c r="G1464" s="16"/>
      <c r="H1464" s="36">
        <v>29.7</v>
      </c>
      <c r="I1464" s="36">
        <f>ROUND(H1464-(H1464*I2/100),2)</f>
        <v>29.7</v>
      </c>
      <c r="J1464" s="17">
        <v>180</v>
      </c>
      <c r="K1464" s="18"/>
      <c r="L1464" s="18"/>
      <c r="M1464" s="20"/>
      <c r="N1464" s="37">
        <f t="shared" si="69"/>
        <v>0</v>
      </c>
      <c r="O1464" s="21">
        <v>1.2E-2</v>
      </c>
      <c r="P1464" s="22">
        <v>4.0000000000000003E-5</v>
      </c>
    </row>
    <row r="1465" spans="1:16" s="1" customFormat="1" ht="119.1" customHeight="1" outlineLevel="2" x14ac:dyDescent="0.2">
      <c r="A1465" s="11">
        <v>207372</v>
      </c>
      <c r="B1465" s="12" t="s">
        <v>2791</v>
      </c>
      <c r="C1465" s="12" t="s">
        <v>50</v>
      </c>
      <c r="D1465" s="13"/>
      <c r="E1465" s="14" t="s">
        <v>2792</v>
      </c>
      <c r="F1465" s="15" t="s">
        <v>24</v>
      </c>
      <c r="G1465" s="16"/>
      <c r="H1465" s="36">
        <v>14.9</v>
      </c>
      <c r="I1465" s="36">
        <f>ROUND(H1465-(H1465*I2/100),2)</f>
        <v>14.9</v>
      </c>
      <c r="J1465" s="17">
        <v>560</v>
      </c>
      <c r="K1465" s="18"/>
      <c r="L1465" s="18"/>
      <c r="M1465" s="20"/>
      <c r="N1465" s="37">
        <f t="shared" si="69"/>
        <v>0</v>
      </c>
      <c r="O1465" s="21">
        <v>1.2E-2</v>
      </c>
      <c r="P1465" s="22">
        <v>4.0000000000000003E-5</v>
      </c>
    </row>
    <row r="1466" spans="1:16" s="1" customFormat="1" ht="119.1" customHeight="1" outlineLevel="2" x14ac:dyDescent="0.2">
      <c r="A1466" s="11">
        <v>207373</v>
      </c>
      <c r="B1466" s="12" t="s">
        <v>2793</v>
      </c>
      <c r="C1466" s="12" t="s">
        <v>50</v>
      </c>
      <c r="D1466" s="13"/>
      <c r="E1466" s="14" t="s">
        <v>2794</v>
      </c>
      <c r="F1466" s="15" t="s">
        <v>24</v>
      </c>
      <c r="G1466" s="16"/>
      <c r="H1466" s="36">
        <v>19</v>
      </c>
      <c r="I1466" s="36">
        <f>ROUND(H1466-(H1466*I2/100),2)</f>
        <v>19</v>
      </c>
      <c r="J1466" s="17">
        <v>290</v>
      </c>
      <c r="K1466" s="18"/>
      <c r="L1466" s="18"/>
      <c r="M1466" s="20"/>
      <c r="N1466" s="37">
        <f t="shared" si="69"/>
        <v>0</v>
      </c>
      <c r="O1466" s="21">
        <v>1.2E-2</v>
      </c>
      <c r="P1466" s="22">
        <v>4.0000000000000003E-5</v>
      </c>
    </row>
    <row r="1467" spans="1:16" s="1" customFormat="1" ht="119.1" customHeight="1" outlineLevel="2" x14ac:dyDescent="0.2">
      <c r="A1467" s="11">
        <v>207374</v>
      </c>
      <c r="B1467" s="12" t="s">
        <v>2795</v>
      </c>
      <c r="C1467" s="12" t="s">
        <v>50</v>
      </c>
      <c r="D1467" s="13"/>
      <c r="E1467" s="14" t="s">
        <v>2796</v>
      </c>
      <c r="F1467" s="15" t="s">
        <v>24</v>
      </c>
      <c r="G1467" s="16"/>
      <c r="H1467" s="36">
        <v>23</v>
      </c>
      <c r="I1467" s="36">
        <f>ROUND(H1467-(H1467*I2/100),2)</f>
        <v>23</v>
      </c>
      <c r="J1467" s="17">
        <v>230</v>
      </c>
      <c r="K1467" s="18"/>
      <c r="L1467" s="18"/>
      <c r="M1467" s="20"/>
      <c r="N1467" s="37">
        <f t="shared" si="69"/>
        <v>0</v>
      </c>
      <c r="O1467" s="21">
        <v>1.2E-2</v>
      </c>
      <c r="P1467" s="22">
        <v>4.0000000000000003E-5</v>
      </c>
    </row>
    <row r="1468" spans="1:16" s="8" customFormat="1" ht="15.95" customHeight="1" x14ac:dyDescent="0.25">
      <c r="A1468" s="9"/>
      <c r="B1468" s="10"/>
      <c r="C1468" s="10"/>
      <c r="D1468" s="10" t="s">
        <v>2797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</row>
    <row r="1469" spans="1:16" s="8" customFormat="1" ht="15.95" customHeight="1" outlineLevel="1" x14ac:dyDescent="0.25">
      <c r="A1469" s="9"/>
      <c r="B1469" s="10"/>
      <c r="C1469" s="10"/>
      <c r="D1469" s="10" t="s">
        <v>2798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</row>
    <row r="1470" spans="1:16" s="8" customFormat="1" ht="15.95" customHeight="1" outlineLevel="2" x14ac:dyDescent="0.25">
      <c r="A1470" s="9"/>
      <c r="B1470" s="10"/>
      <c r="C1470" s="10"/>
      <c r="D1470" s="10" t="s">
        <v>2799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</row>
    <row r="1471" spans="1:16" s="1" customFormat="1" ht="119.1" customHeight="1" outlineLevel="3" x14ac:dyDescent="0.2">
      <c r="A1471" s="11">
        <v>216864</v>
      </c>
      <c r="B1471" s="12" t="s">
        <v>2800</v>
      </c>
      <c r="C1471" s="12" t="s">
        <v>50</v>
      </c>
      <c r="D1471" s="13"/>
      <c r="E1471" s="14" t="s">
        <v>2801</v>
      </c>
      <c r="F1471" s="15" t="s">
        <v>24</v>
      </c>
      <c r="G1471" s="16"/>
      <c r="H1471" s="36">
        <v>46.4</v>
      </c>
      <c r="I1471" s="36">
        <f>ROUND(H1471-(H1471*I2/100),2)</f>
        <v>46.4</v>
      </c>
      <c r="J1471" s="27">
        <v>3080</v>
      </c>
      <c r="K1471" s="18"/>
      <c r="L1471" s="18"/>
      <c r="M1471" s="20"/>
      <c r="N1471" s="37">
        <f t="shared" ref="N1471:N1477" si="70">I1471*M1471</f>
        <v>0</v>
      </c>
      <c r="O1471" s="21">
        <v>6.8000000000000005E-2</v>
      </c>
      <c r="P1471" s="22">
        <v>8.2999999999999998E-5</v>
      </c>
    </row>
    <row r="1472" spans="1:16" s="1" customFormat="1" ht="119.1" customHeight="1" outlineLevel="3" x14ac:dyDescent="0.2">
      <c r="A1472" s="11">
        <v>216865</v>
      </c>
      <c r="B1472" s="12" t="s">
        <v>2802</v>
      </c>
      <c r="C1472" s="12" t="s">
        <v>50</v>
      </c>
      <c r="D1472" s="13"/>
      <c r="E1472" s="14" t="s">
        <v>2803</v>
      </c>
      <c r="F1472" s="15" t="s">
        <v>24</v>
      </c>
      <c r="G1472" s="16"/>
      <c r="H1472" s="36">
        <v>46.4</v>
      </c>
      <c r="I1472" s="36">
        <f>ROUND(H1472-(H1472*I2/100),2)</f>
        <v>46.4</v>
      </c>
      <c r="J1472" s="27">
        <v>3040</v>
      </c>
      <c r="K1472" s="18"/>
      <c r="L1472" s="18"/>
      <c r="M1472" s="20"/>
      <c r="N1472" s="37">
        <f t="shared" si="70"/>
        <v>0</v>
      </c>
      <c r="O1472" s="21">
        <v>6.5000000000000002E-2</v>
      </c>
      <c r="P1472" s="22">
        <v>8.2999999999999998E-5</v>
      </c>
    </row>
    <row r="1473" spans="1:16" s="1" customFormat="1" ht="119.1" customHeight="1" outlineLevel="3" x14ac:dyDescent="0.2">
      <c r="A1473" s="11">
        <v>216866</v>
      </c>
      <c r="B1473" s="12" t="s">
        <v>2804</v>
      </c>
      <c r="C1473" s="12" t="s">
        <v>50</v>
      </c>
      <c r="D1473" s="13"/>
      <c r="E1473" s="14" t="s">
        <v>2805</v>
      </c>
      <c r="F1473" s="15" t="s">
        <v>24</v>
      </c>
      <c r="G1473" s="16"/>
      <c r="H1473" s="36">
        <v>46.4</v>
      </c>
      <c r="I1473" s="36">
        <f>ROUND(H1473-(H1473*I2/100),2)</f>
        <v>46.4</v>
      </c>
      <c r="J1473" s="27">
        <v>2870</v>
      </c>
      <c r="K1473" s="18"/>
      <c r="L1473" s="18"/>
      <c r="M1473" s="20"/>
      <c r="N1473" s="37">
        <f t="shared" si="70"/>
        <v>0</v>
      </c>
      <c r="O1473" s="21">
        <v>6.8000000000000005E-2</v>
      </c>
      <c r="P1473" s="22">
        <v>8.2999999999999998E-5</v>
      </c>
    </row>
    <row r="1474" spans="1:16" s="1" customFormat="1" ht="119.1" customHeight="1" outlineLevel="3" x14ac:dyDescent="0.2">
      <c r="A1474" s="11">
        <v>216868</v>
      </c>
      <c r="B1474" s="12" t="s">
        <v>2806</v>
      </c>
      <c r="C1474" s="12" t="s">
        <v>50</v>
      </c>
      <c r="D1474" s="13"/>
      <c r="E1474" s="14" t="s">
        <v>2807</v>
      </c>
      <c r="F1474" s="15" t="s">
        <v>24</v>
      </c>
      <c r="G1474" s="16"/>
      <c r="H1474" s="36">
        <v>23.9</v>
      </c>
      <c r="I1474" s="36">
        <f>ROUND(H1474-(H1474*I2/100),2)</f>
        <v>23.9</v>
      </c>
      <c r="J1474" s="27">
        <v>2120</v>
      </c>
      <c r="K1474" s="18"/>
      <c r="L1474" s="18"/>
      <c r="M1474" s="20"/>
      <c r="N1474" s="37">
        <f t="shared" si="70"/>
        <v>0</v>
      </c>
      <c r="O1474" s="21">
        <v>3.3000000000000002E-2</v>
      </c>
      <c r="P1474" s="22">
        <v>6.4999999999999994E-5</v>
      </c>
    </row>
    <row r="1475" spans="1:16" s="1" customFormat="1" ht="119.1" customHeight="1" outlineLevel="3" x14ac:dyDescent="0.2">
      <c r="A1475" s="11">
        <v>216870</v>
      </c>
      <c r="B1475" s="12" t="s">
        <v>2808</v>
      </c>
      <c r="C1475" s="12" t="s">
        <v>50</v>
      </c>
      <c r="D1475" s="13"/>
      <c r="E1475" s="14" t="s">
        <v>2809</v>
      </c>
      <c r="F1475" s="15" t="s">
        <v>24</v>
      </c>
      <c r="G1475" s="16"/>
      <c r="H1475" s="36">
        <v>108.5</v>
      </c>
      <c r="I1475" s="36">
        <f>ROUND(H1475-(H1475*I2/100),2)</f>
        <v>108.5</v>
      </c>
      <c r="J1475" s="27">
        <v>3069</v>
      </c>
      <c r="K1475" s="18"/>
      <c r="L1475" s="18"/>
      <c r="M1475" s="20"/>
      <c r="N1475" s="37">
        <f t="shared" si="70"/>
        <v>0</v>
      </c>
      <c r="O1475" s="21">
        <v>9.2999999999999999E-2</v>
      </c>
      <c r="P1475" s="22">
        <v>8.2999999999999998E-5</v>
      </c>
    </row>
    <row r="1476" spans="1:16" s="1" customFormat="1" ht="119.1" customHeight="1" outlineLevel="3" x14ac:dyDescent="0.2">
      <c r="A1476" s="11">
        <v>216869</v>
      </c>
      <c r="B1476" s="12" t="s">
        <v>2810</v>
      </c>
      <c r="C1476" s="12" t="s">
        <v>50</v>
      </c>
      <c r="D1476" s="28"/>
      <c r="E1476" s="29" t="s">
        <v>2811</v>
      </c>
      <c r="F1476" s="30" t="s">
        <v>24</v>
      </c>
      <c r="G1476" s="31" t="s">
        <v>209</v>
      </c>
      <c r="H1476" s="36">
        <v>209</v>
      </c>
      <c r="I1476" s="36">
        <f>ROUND(H1476-(H1476*I2/100),2)</f>
        <v>209</v>
      </c>
      <c r="J1476" s="27">
        <v>2090</v>
      </c>
      <c r="K1476" s="18"/>
      <c r="L1476" s="18"/>
      <c r="M1476" s="20"/>
      <c r="N1476" s="37">
        <f t="shared" si="70"/>
        <v>0</v>
      </c>
      <c r="O1476" s="21">
        <v>0.115</v>
      </c>
      <c r="P1476" s="22">
        <v>8.2999999999999998E-5</v>
      </c>
    </row>
    <row r="1477" spans="1:16" s="1" customFormat="1" ht="119.1" customHeight="1" outlineLevel="3" x14ac:dyDescent="0.2">
      <c r="A1477" s="11">
        <v>216867</v>
      </c>
      <c r="B1477" s="12" t="s">
        <v>2812</v>
      </c>
      <c r="C1477" s="12" t="s">
        <v>50</v>
      </c>
      <c r="D1477" s="13"/>
      <c r="E1477" s="14" t="s">
        <v>2813</v>
      </c>
      <c r="F1477" s="15" t="s">
        <v>24</v>
      </c>
      <c r="G1477" s="16"/>
      <c r="H1477" s="36">
        <v>29.1</v>
      </c>
      <c r="I1477" s="36">
        <f>ROUND(H1477-(H1477*I2/100),2)</f>
        <v>29.1</v>
      </c>
      <c r="J1477" s="27">
        <v>3480</v>
      </c>
      <c r="K1477" s="18"/>
      <c r="L1477" s="18"/>
      <c r="M1477" s="20"/>
      <c r="N1477" s="37">
        <f t="shared" si="70"/>
        <v>0</v>
      </c>
      <c r="O1477" s="21">
        <v>4.2999999999999997E-2</v>
      </c>
      <c r="P1477" s="22">
        <v>6.7000000000000002E-5</v>
      </c>
    </row>
    <row r="1478" spans="1:16" s="8" customFormat="1" ht="15.95" customHeight="1" outlineLevel="1" x14ac:dyDescent="0.25">
      <c r="A1478" s="9"/>
      <c r="B1478" s="10"/>
      <c r="C1478" s="10"/>
      <c r="D1478" s="10" t="s">
        <v>2814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</row>
    <row r="1479" spans="1:16" s="1" customFormat="1" ht="119.1" customHeight="1" outlineLevel="2" x14ac:dyDescent="0.2">
      <c r="A1479" s="11">
        <v>188335</v>
      </c>
      <c r="B1479" s="12" t="s">
        <v>2815</v>
      </c>
      <c r="C1479" s="12" t="s">
        <v>22</v>
      </c>
      <c r="D1479" s="28"/>
      <c r="E1479" s="29" t="s">
        <v>2816</v>
      </c>
      <c r="F1479" s="30" t="s">
        <v>24</v>
      </c>
      <c r="G1479" s="31" t="s">
        <v>209</v>
      </c>
      <c r="H1479" s="36">
        <v>27</v>
      </c>
      <c r="I1479" s="36">
        <f>ROUND(H1479-(H1479*I2/100),2)</f>
        <v>27</v>
      </c>
      <c r="J1479" s="27">
        <v>3356</v>
      </c>
      <c r="K1479" s="18"/>
      <c r="L1479" s="18"/>
      <c r="M1479" s="20"/>
      <c r="N1479" s="37">
        <f>I1479*M1479</f>
        <v>0</v>
      </c>
      <c r="O1479" s="21">
        <v>2.3E-2</v>
      </c>
      <c r="P1479" s="22">
        <v>1.0000000000000001E-5</v>
      </c>
    </row>
    <row r="1480" spans="1:16" s="1" customFormat="1" ht="119.1" customHeight="1" outlineLevel="2" x14ac:dyDescent="0.2">
      <c r="A1480" s="11">
        <v>205889</v>
      </c>
      <c r="B1480" s="12" t="s">
        <v>2817</v>
      </c>
      <c r="C1480" s="12" t="s">
        <v>50</v>
      </c>
      <c r="D1480" s="13"/>
      <c r="E1480" s="14" t="s">
        <v>2818</v>
      </c>
      <c r="F1480" s="15" t="s">
        <v>113</v>
      </c>
      <c r="G1480" s="16"/>
      <c r="H1480" s="36">
        <v>107</v>
      </c>
      <c r="I1480" s="36">
        <f>ROUND(H1480-(H1480*I2/100),2)</f>
        <v>107</v>
      </c>
      <c r="J1480" s="27">
        <v>1467</v>
      </c>
      <c r="K1480" s="18"/>
      <c r="L1480" s="18"/>
      <c r="M1480" s="20"/>
      <c r="N1480" s="37">
        <f>I1480*M1480</f>
        <v>0</v>
      </c>
      <c r="O1480" s="21">
        <v>0.05</v>
      </c>
      <c r="P1480" s="22">
        <v>1.47E-4</v>
      </c>
    </row>
    <row r="1481" spans="1:16" s="1" customFormat="1" ht="119.1" customHeight="1" outlineLevel="2" x14ac:dyDescent="0.2">
      <c r="A1481" s="11">
        <v>205888</v>
      </c>
      <c r="B1481" s="12" t="s">
        <v>2819</v>
      </c>
      <c r="C1481" s="12" t="s">
        <v>50</v>
      </c>
      <c r="D1481" s="13"/>
      <c r="E1481" s="14" t="s">
        <v>2820</v>
      </c>
      <c r="F1481" s="15" t="s">
        <v>113</v>
      </c>
      <c r="G1481" s="16"/>
      <c r="H1481" s="36">
        <v>90.4</v>
      </c>
      <c r="I1481" s="36">
        <f>ROUND(H1481-(H1481*I2/100),2)</f>
        <v>90.4</v>
      </c>
      <c r="J1481" s="27">
        <v>3304</v>
      </c>
      <c r="K1481" s="18"/>
      <c r="L1481" s="18"/>
      <c r="M1481" s="20"/>
      <c r="N1481" s="37">
        <f>I1481*M1481</f>
        <v>0</v>
      </c>
      <c r="O1481" s="21">
        <v>0.05</v>
      </c>
      <c r="P1481" s="22">
        <v>9.7999999999999997E-5</v>
      </c>
    </row>
    <row r="1482" spans="1:16" s="1" customFormat="1" ht="119.1" customHeight="1" outlineLevel="2" x14ac:dyDescent="0.2">
      <c r="A1482" s="11">
        <v>188334</v>
      </c>
      <c r="B1482" s="12" t="s">
        <v>2821</v>
      </c>
      <c r="C1482" s="12" t="s">
        <v>22</v>
      </c>
      <c r="D1482" s="13"/>
      <c r="E1482" s="14" t="s">
        <v>2822</v>
      </c>
      <c r="F1482" s="15" t="s">
        <v>24</v>
      </c>
      <c r="G1482" s="16"/>
      <c r="H1482" s="36">
        <v>21.9</v>
      </c>
      <c r="I1482" s="36">
        <f>ROUND(H1482-(H1482*I2/100),2)</f>
        <v>21.9</v>
      </c>
      <c r="J1482" s="27">
        <v>1476</v>
      </c>
      <c r="K1482" s="18"/>
      <c r="L1482" s="18"/>
      <c r="M1482" s="20"/>
      <c r="N1482" s="37">
        <f>I1482*M1482</f>
        <v>0</v>
      </c>
      <c r="O1482" s="21">
        <v>1.0999999999999999E-2</v>
      </c>
      <c r="P1482" s="22">
        <v>3.9999999999999998E-6</v>
      </c>
    </row>
  </sheetData>
  <autoFilter ref="A4:L4" xr:uid="{00000000-0001-0000-0000-000000000000}">
    <filterColumn colId="3" showButton="0"/>
  </autoFilter>
  <mergeCells count="2">
    <mergeCell ref="L2:M2"/>
    <mergeCell ref="D4:E4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Креймер Анна-Елизавета</dc:creator>
  <cp:lastModifiedBy>Петрулевич Кирилл</cp:lastModifiedBy>
  <dcterms:created xsi:type="dcterms:W3CDTF">2026-01-28T01:56:24Z</dcterms:created>
  <dcterms:modified xsi:type="dcterms:W3CDTF">2026-01-28T04:10:35Z</dcterms:modified>
</cp:coreProperties>
</file>